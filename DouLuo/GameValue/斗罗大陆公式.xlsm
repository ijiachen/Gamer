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3"/>
  </bookViews>
  <sheets>
    <sheet name="基础公式" sheetId="2" r:id="rId1"/>
    <sheet name="技能系数" sheetId="3" r:id="rId2"/>
    <sheet name="程序逻辑（备用）" sheetId="1" r:id="rId3"/>
    <sheet name="便捷公式示范" sheetId="4" r:id="rId4"/>
  </sheets>
  <functionGroups builtInGroupCount="18"/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3" l="1"/>
  <c r="G15" i="3"/>
  <c r="G17" i="3"/>
  <c r="I2" i="3"/>
  <c r="I21" i="4"/>
  <c r="I18" i="4"/>
  <c r="I12" i="4"/>
  <c r="I5" i="4"/>
  <c r="I9" i="4"/>
  <c r="I8" i="4"/>
  <c r="I15" i="4"/>
  <c r="I25" i="4"/>
  <c r="I26" i="4"/>
  <c r="L5" i="3" l="1"/>
  <c r="M4" i="3"/>
  <c r="L8" i="3"/>
  <c r="L7" i="3"/>
  <c r="L6" i="3"/>
  <c r="O4" i="3" l="1"/>
  <c r="G33" i="2" l="1"/>
  <c r="E33" i="2"/>
  <c r="E27" i="2"/>
  <c r="D352" i="2" l="1"/>
  <c r="I84" i="2" l="1"/>
  <c r="I83" i="2"/>
  <c r="I82" i="2"/>
  <c r="I81" i="2"/>
  <c r="H47" i="2" l="1"/>
  <c r="E29" i="2"/>
  <c r="G26" i="2" s="1"/>
  <c r="G22" i="2"/>
  <c r="I47" i="2"/>
  <c r="H48" i="2"/>
  <c r="I48" i="2" s="1"/>
  <c r="H49" i="2"/>
  <c r="H50" i="2"/>
  <c r="I50" i="2" s="1"/>
  <c r="H51" i="2"/>
  <c r="I51" i="2" s="1"/>
  <c r="H52" i="2"/>
  <c r="I52" i="2" s="1"/>
  <c r="H53" i="2"/>
  <c r="H54" i="2"/>
  <c r="I54" i="2" s="1"/>
  <c r="H55" i="2"/>
  <c r="I55" i="2" s="1"/>
  <c r="H56" i="2"/>
  <c r="I56" i="2" s="1"/>
  <c r="H57" i="2"/>
  <c r="H58" i="2"/>
  <c r="I58" i="2" s="1"/>
  <c r="H59" i="2"/>
  <c r="I59" i="2" s="1"/>
  <c r="H60" i="2"/>
  <c r="I60" i="2" s="1"/>
  <c r="H61" i="2"/>
  <c r="H62" i="2"/>
  <c r="I62" i="2" s="1"/>
  <c r="H63" i="2"/>
  <c r="I63" i="2" s="1"/>
  <c r="H64" i="2"/>
  <c r="I64" i="2" s="1"/>
  <c r="H65" i="2"/>
  <c r="H66" i="2"/>
  <c r="I66" i="2" s="1"/>
  <c r="H67" i="2"/>
  <c r="I67" i="2" s="1"/>
  <c r="H68" i="2"/>
  <c r="I68" i="2" s="1"/>
  <c r="H69" i="2"/>
  <c r="H70" i="2"/>
  <c r="I70" i="2" s="1"/>
  <c r="H71" i="2"/>
  <c r="I71" i="2" s="1"/>
  <c r="H72" i="2"/>
  <c r="I72" i="2" s="1"/>
  <c r="H73" i="2"/>
  <c r="H74" i="2"/>
  <c r="I74" i="2" s="1"/>
  <c r="H75" i="2"/>
  <c r="I75" i="2" s="1"/>
  <c r="H76" i="2"/>
  <c r="I76" i="2" s="1"/>
  <c r="K40" i="2"/>
  <c r="K39" i="2"/>
  <c r="K38" i="2"/>
  <c r="K37" i="2"/>
  <c r="P37" i="2" s="1"/>
  <c r="K36" i="2"/>
  <c r="K34" i="2"/>
  <c r="K33" i="2"/>
  <c r="P33" i="2" s="1"/>
  <c r="K32" i="2"/>
  <c r="K31" i="2"/>
  <c r="P31" i="2" s="1"/>
  <c r="K30" i="2"/>
  <c r="K29" i="2"/>
  <c r="P29" i="2" s="1"/>
  <c r="K27" i="2"/>
  <c r="P27" i="2" s="1"/>
  <c r="K26" i="2"/>
  <c r="K25" i="2"/>
  <c r="K23" i="2"/>
  <c r="P23" i="2" s="1"/>
  <c r="K22" i="2"/>
  <c r="P22" i="2" s="1"/>
  <c r="K21" i="2"/>
  <c r="P21" i="2" s="1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21" i="2"/>
  <c r="L40" i="2"/>
  <c r="P40" i="2"/>
  <c r="L39" i="2"/>
  <c r="P39" i="2"/>
  <c r="L38" i="2"/>
  <c r="P38" i="2"/>
  <c r="L37" i="2"/>
  <c r="L36" i="2"/>
  <c r="P36" i="2"/>
  <c r="L35" i="2"/>
  <c r="K35" i="2"/>
  <c r="P35" i="2" s="1"/>
  <c r="L34" i="2"/>
  <c r="P34" i="2"/>
  <c r="L33" i="2"/>
  <c r="L32" i="2"/>
  <c r="P32" i="2"/>
  <c r="L31" i="2"/>
  <c r="L30" i="2"/>
  <c r="P30" i="2"/>
  <c r="L29" i="2"/>
  <c r="L28" i="2"/>
  <c r="K28" i="2"/>
  <c r="P28" i="2" s="1"/>
  <c r="L27" i="2"/>
  <c r="L26" i="2"/>
  <c r="P26" i="2"/>
  <c r="L25" i="2"/>
  <c r="P25" i="2"/>
  <c r="L24" i="2"/>
  <c r="K24" i="2"/>
  <c r="P24" i="2" s="1"/>
  <c r="L23" i="2"/>
  <c r="L22" i="2"/>
  <c r="L21" i="2"/>
  <c r="I73" i="2" l="1"/>
  <c r="I65" i="2"/>
  <c r="I57" i="2"/>
  <c r="I53" i="2"/>
  <c r="O29" i="2"/>
  <c r="G27" i="2"/>
  <c r="G28" i="2" s="1"/>
  <c r="I69" i="2"/>
  <c r="I61" i="2"/>
  <c r="I49" i="2"/>
  <c r="O21" i="2"/>
  <c r="R21" i="2" s="1"/>
  <c r="S21" i="2" s="1"/>
  <c r="T21" i="2" s="1"/>
  <c r="O23" i="2"/>
  <c r="O25" i="2"/>
  <c r="O27" i="2"/>
  <c r="O31" i="2"/>
  <c r="O33" i="2"/>
  <c r="O35" i="2"/>
  <c r="O39" i="2"/>
  <c r="O37" i="2"/>
  <c r="O22" i="2"/>
  <c r="O24" i="2"/>
  <c r="O26" i="2"/>
  <c r="O28" i="2"/>
  <c r="O30" i="2"/>
  <c r="O32" i="2"/>
  <c r="O34" i="2"/>
  <c r="O36" i="2"/>
  <c r="O38" i="2"/>
  <c r="O40" i="2"/>
  <c r="R35" i="2" l="1"/>
  <c r="R24" i="2"/>
  <c r="S24" i="2" s="1"/>
  <c r="T24" i="2" s="1"/>
  <c r="R37" i="2"/>
  <c r="R27" i="2"/>
  <c r="S27" i="2" s="1"/>
  <c r="T27" i="2" s="1"/>
  <c r="R28" i="2"/>
  <c r="S28" i="2" s="1"/>
  <c r="T28" i="2" s="1"/>
  <c r="R39" i="2"/>
  <c r="R38" i="2"/>
  <c r="S38" i="2" s="1"/>
  <c r="T38" i="2" s="1"/>
  <c r="R22" i="2"/>
  <c r="S22" i="2" s="1"/>
  <c r="T22" i="2" s="1"/>
  <c r="R29" i="2"/>
  <c r="S29" i="2" s="1"/>
  <c r="T29" i="2" s="1"/>
  <c r="R31" i="2"/>
  <c r="R23" i="2"/>
  <c r="S23" i="2" s="1"/>
  <c r="T23" i="2" s="1"/>
  <c r="R33" i="2"/>
  <c r="R32" i="2"/>
  <c r="S32" i="2" s="1"/>
  <c r="T32" i="2" s="1"/>
  <c r="R25" i="2"/>
  <c r="S31" i="2"/>
  <c r="T31" i="2" s="1"/>
  <c r="S39" i="2"/>
  <c r="T39" i="2" s="1"/>
  <c r="R40" i="2"/>
  <c r="S40" i="2" s="1"/>
  <c r="T40" i="2" s="1"/>
  <c r="R34" i="2"/>
  <c r="S34" i="2" s="1"/>
  <c r="T34" i="2" s="1"/>
  <c r="R36" i="2"/>
  <c r="S36" i="2" s="1"/>
  <c r="T36" i="2" s="1"/>
  <c r="R30" i="2"/>
  <c r="S30" i="2" s="1"/>
  <c r="T30" i="2" s="1"/>
  <c r="S37" i="2"/>
  <c r="T37" i="2" s="1"/>
  <c r="S35" i="2"/>
  <c r="T35" i="2" s="1"/>
  <c r="R26" i="2"/>
  <c r="S26" i="2" s="1"/>
  <c r="T26" i="2" s="1"/>
  <c r="S25" i="2" l="1"/>
  <c r="T25" i="2" s="1"/>
  <c r="S33" i="2"/>
  <c r="T33" i="2" s="1"/>
</calcChain>
</file>

<file path=xl/sharedStrings.xml><?xml version="1.0" encoding="utf-8"?>
<sst xmlns="http://schemas.openxmlformats.org/spreadsheetml/2006/main" count="180" uniqueCount="166">
  <si>
    <t>1、伤害数值计算</t>
  </si>
  <si>
    <t>物理免疫/魔法免疫  0</t>
  </si>
  <si>
    <t>护甲 = 目标护甲-目标护甲*无视护甲值*数值比例(龙王万分比)</t>
    <phoneticPr fontId="2" type="noConversion"/>
  </si>
  <si>
    <t>防御力 = 无视护甲？0 否则 = （护甲-物穿）*目标防御系数</t>
    <phoneticPr fontId="2" type="noConversion"/>
  </si>
  <si>
    <t>基础伤害 = 攻击力*攻击系数+ 固定伤害 + 所有额外效果的伤害</t>
  </si>
  <si>
    <t>固定伤害 = 基础伤害 / (1+（防御力/攻击强度）)</t>
    <phoneticPr fontId="2" type="noConversion"/>
  </si>
  <si>
    <t>攻击增益=我方伤害加成百分比-敌方无视伤害加成百分比（最低为0）</t>
  </si>
  <si>
    <t>攻击减益=敌方伤害减免百分比-我方无视伤害减免百分比（最低为0）</t>
  </si>
  <si>
    <t>伤害增减百分比 = 攻击增益 - 攻击减益</t>
  </si>
  <si>
    <t>最终伤害 固定伤害* （1/数值比例 + 伤害增减百分比）* 数值比例</t>
  </si>
  <si>
    <t>2、伤害效果修正(计算暴击格挡)</t>
  </si>
  <si>
    <t>闪避 = （目标闪避值 - 命中值 + 1）/（目标闪避值+1）</t>
  </si>
  <si>
    <t>最大闪避 = 0.33 +  （目标最大闪避值 - 最大命中值）[最小0]* 数值比例</t>
  </si>
  <si>
    <t>闪避 = 闪避 &gt; 最大闪避? 最大 : 闪避;</t>
  </si>
  <si>
    <t>是否闪避 = 随机一个闪避值，判断是否在闪避范围内</t>
  </si>
  <si>
    <t>同闪避 ，类似</t>
  </si>
  <si>
    <t>暴击 = （暴击值 - 目标抗暴值 + 1）/（目标抗暴值+1）</t>
  </si>
  <si>
    <t>是否增加暴击 ？ 最大暴击 = 我方暴击上限 * 0.01</t>
  </si>
  <si>
    <t>随机值判断是否暴击</t>
  </si>
  <si>
    <t>格挡 = （目标格挡 - 破击）*2 / （目标格挡+1）</t>
  </si>
  <si>
    <t>最大格挡= 0.66 + 目标格挡上限 * 数值比例（万分比）</t>
  </si>
  <si>
    <t>随机值判断格挡</t>
  </si>
  <si>
    <t>具体的数值会计算，先闪避，再算暴击，再算格挡，最后得出伤害数值</t>
  </si>
  <si>
    <t>伤害数值会根据技能的一些暴击效果，格挡效果等再增加或减少一些伤害值</t>
  </si>
  <si>
    <t>最后得出最终伤害</t>
  </si>
  <si>
    <t>3、计算技能效果加成</t>
  </si>
  <si>
    <t>闪避计算</t>
  </si>
  <si>
    <t>格挡 IsBlock</t>
  </si>
  <si>
    <t>暴击</t>
  </si>
  <si>
    <t>致命一击</t>
  </si>
  <si>
    <t>怒气加成（false）</t>
  </si>
  <si>
    <t>免疫计算</t>
  </si>
  <si>
    <t>4、</t>
  </si>
  <si>
    <t>各种加成过后</t>
  </si>
  <si>
    <t>结算最终伤害</t>
  </si>
  <si>
    <t>伤害 =</t>
    <phoneticPr fontId="2" type="noConversion"/>
  </si>
  <si>
    <t>系数*攻击/(1+防御/攻强)</t>
    <phoneticPr fontId="1" type="noConversion"/>
  </si>
  <si>
    <t>伤害率 =</t>
    <phoneticPr fontId="1" type="noConversion"/>
  </si>
  <si>
    <t>抵消率 =</t>
    <phoneticPr fontId="1" type="noConversion"/>
  </si>
  <si>
    <t>攻强/(攻强+防御)</t>
    <phoneticPr fontId="1" type="noConversion"/>
  </si>
  <si>
    <t>防御/(攻强+防御)</t>
    <phoneticPr fontId="1" type="noConversion"/>
  </si>
  <si>
    <t>关系2: 攻强 = b·防御</t>
    <phoneticPr fontId="1" type="noConversion"/>
  </si>
  <si>
    <t>关系1: 攻击 = a·防御</t>
    <phoneticPr fontId="1" type="noConversion"/>
  </si>
  <si>
    <t>攻击*防御/(攻强+防御) = 防御</t>
    <phoneticPr fontId="1" type="noConversion"/>
  </si>
  <si>
    <t>a = b+1</t>
    <phoneticPr fontId="1" type="noConversion"/>
  </si>
  <si>
    <t>实现防御属性价值 = 攻击属性价值</t>
    <phoneticPr fontId="1" type="noConversion"/>
  </si>
  <si>
    <t>血</t>
    <phoneticPr fontId="2" type="noConversion"/>
  </si>
  <si>
    <t>伤害率</t>
    <phoneticPr fontId="2" type="noConversion"/>
  </si>
  <si>
    <t>攻</t>
    <phoneticPr fontId="2" type="noConversion"/>
  </si>
  <si>
    <t>减伤率</t>
    <phoneticPr fontId="2" type="noConversion"/>
  </si>
  <si>
    <t>防</t>
    <phoneticPr fontId="2" type="noConversion"/>
  </si>
  <si>
    <t>攻强</t>
    <phoneticPr fontId="2" type="noConversion"/>
  </si>
  <si>
    <t>血</t>
    <phoneticPr fontId="2" type="noConversion"/>
  </si>
  <si>
    <t>伤害率</t>
    <phoneticPr fontId="2" type="noConversion"/>
  </si>
  <si>
    <t>攻</t>
    <phoneticPr fontId="2" type="noConversion"/>
  </si>
  <si>
    <t>减伤率</t>
    <phoneticPr fontId="2" type="noConversion"/>
  </si>
  <si>
    <t>攻强</t>
    <phoneticPr fontId="2" type="noConversion"/>
  </si>
  <si>
    <t>提升攻</t>
    <phoneticPr fontId="2" type="noConversion"/>
  </si>
  <si>
    <t>提升防</t>
    <phoneticPr fontId="2" type="noConversion"/>
  </si>
  <si>
    <t>提升攻强</t>
    <phoneticPr fontId="2" type="noConversion"/>
  </si>
  <si>
    <t>防御</t>
    <phoneticPr fontId="2" type="noConversion"/>
  </si>
  <si>
    <t>攻强</t>
    <phoneticPr fontId="2" type="noConversion"/>
  </si>
  <si>
    <t>攻击</t>
    <phoneticPr fontId="2" type="noConversion"/>
  </si>
  <si>
    <t>减伤率</t>
    <phoneticPr fontId="2" type="noConversion"/>
  </si>
  <si>
    <t>减攻</t>
    <phoneticPr fontId="2" type="noConversion"/>
  </si>
  <si>
    <t>抵挡值</t>
    <phoneticPr fontId="2" type="noConversion"/>
  </si>
  <si>
    <t>攻</t>
    <phoneticPr fontId="1" type="noConversion"/>
  </si>
  <si>
    <t>防</t>
    <phoneticPr fontId="1" type="noConversion"/>
  </si>
  <si>
    <t>攻强</t>
    <phoneticPr fontId="1" type="noConversion"/>
  </si>
  <si>
    <t>减伤提升</t>
    <phoneticPr fontId="2" type="noConversion"/>
  </si>
  <si>
    <t>自身推演</t>
    <phoneticPr fontId="1" type="noConversion"/>
  </si>
  <si>
    <t>对抗推演</t>
    <phoneticPr fontId="1" type="noConversion"/>
  </si>
  <si>
    <t>减伤率</t>
    <phoneticPr fontId="1" type="noConversion"/>
  </si>
  <si>
    <t>我方攻强一定，敌方防御变化</t>
    <phoneticPr fontId="1" type="noConversion"/>
  </si>
  <si>
    <t>防御</t>
    <phoneticPr fontId="1" type="noConversion"/>
  </si>
  <si>
    <t>攻击*减伤率 = 防御</t>
    <phoneticPr fontId="1" type="noConversion"/>
  </si>
  <si>
    <t>增长率</t>
    <phoneticPr fontId="1" type="noConversion"/>
  </si>
  <si>
    <t>攻击</t>
    <phoneticPr fontId="2" type="noConversion"/>
  </si>
  <si>
    <t>生命</t>
    <phoneticPr fontId="2" type="noConversion"/>
  </si>
  <si>
    <t>护甲</t>
    <phoneticPr fontId="2" type="noConversion"/>
  </si>
  <si>
    <t>前排t</t>
  </si>
  <si>
    <t>前排输出</t>
  </si>
  <si>
    <t>中排输出</t>
  </si>
  <si>
    <t>后排输出</t>
  </si>
  <si>
    <t>职业类型</t>
    <phoneticPr fontId="1" type="noConversion"/>
  </si>
  <si>
    <t>伤害计算顺序</t>
  </si>
  <si>
    <t>无敌触发退出流程</t>
  </si>
  <si>
    <t>攻方攻击力与双方防御计算</t>
  </si>
  <si>
    <t>增伤、减伤计算</t>
  </si>
  <si>
    <t>真实伤害计算</t>
  </si>
  <si>
    <t>得到基础伤害</t>
  </si>
  <si>
    <t>闪避概率（概率上限可配置到100%）计算，触发退出流程</t>
  </si>
  <si>
    <t>暴击（概率上限33%）、格档（概率上限可配置到100%）概率计算，可同时触发</t>
  </si>
  <si>
    <t>得到加成后的伤害</t>
  </si>
  <si>
    <t>伤害转加血（特殊效果），不造成伤害，直接回血，退出流程</t>
  </si>
  <si>
    <t>致命一击计算</t>
  </si>
  <si>
    <t>攻击方，当前怒气加成伤害</t>
  </si>
  <si>
    <t>角色单位类型加成</t>
  </si>
  <si>
    <t>角色位置加成</t>
  </si>
  <si>
    <t>人数伤害加成</t>
  </si>
  <si>
    <t>免疫物理、法术触发，重置伤害为0</t>
  </si>
  <si>
    <t>伤害调整（特殊属性）加成</t>
  </si>
  <si>
    <t>处理各种 debuff 加成。比如灼烧情况加成</t>
  </si>
  <si>
    <t>凤凰之力伤害加成（专用）</t>
  </si>
  <si>
    <t>计算护盾抵消部分伤害，得到最终伤害</t>
  </si>
  <si>
    <t>最终伤害对攻方反伤</t>
  </si>
  <si>
    <t>取出受击方最终伤害与剩余血量的最小值，给受击方回怒气</t>
  </si>
  <si>
    <t>本次攻击为觉醒，界面显示的伤害数值为最终伤害</t>
  </si>
  <si>
    <t>以最终伤害执行受击方减血</t>
  </si>
  <si>
    <t>技能循环</t>
    <phoneticPr fontId="2" type="noConversion"/>
  </si>
  <si>
    <t>总时间长</t>
    <phoneticPr fontId="2" type="noConversion"/>
  </si>
  <si>
    <t>觉醒怒气</t>
    <phoneticPr fontId="2" type="noConversion"/>
  </si>
  <si>
    <t>技能时间</t>
    <phoneticPr fontId="2" type="noConversion"/>
  </si>
  <si>
    <t>CD</t>
    <phoneticPr fontId="2" type="noConversion"/>
  </si>
  <si>
    <t>怒气值</t>
    <phoneticPr fontId="2" type="noConversion"/>
  </si>
  <si>
    <t>释放次数</t>
    <phoneticPr fontId="2" type="noConversion"/>
  </si>
  <si>
    <t>技能系数</t>
    <phoneticPr fontId="2" type="noConversion"/>
  </si>
  <si>
    <t>人数</t>
    <phoneticPr fontId="2" type="noConversion"/>
  </si>
  <si>
    <t>伤害</t>
    <phoneticPr fontId="2" type="noConversion"/>
  </si>
  <si>
    <t>普攻</t>
    <phoneticPr fontId="2" type="noConversion"/>
  </si>
  <si>
    <t>必杀</t>
    <phoneticPr fontId="2" type="noConversion"/>
  </si>
  <si>
    <t>觉醒</t>
    <phoneticPr fontId="2" type="noConversion"/>
  </si>
  <si>
    <t>被动1</t>
    <phoneticPr fontId="2" type="noConversion"/>
  </si>
  <si>
    <t>被动2</t>
    <phoneticPr fontId="2" type="noConversion"/>
  </si>
  <si>
    <t>被动3</t>
    <phoneticPr fontId="2" type="noConversion"/>
  </si>
  <si>
    <t>秒</t>
    <phoneticPr fontId="1" type="noConversion"/>
  </si>
  <si>
    <t>0+0+3+3+0+0+0</t>
    <phoneticPr fontId="2" type="noConversion"/>
  </si>
  <si>
    <t>2000+2001+2002+2003</t>
    <phoneticPr fontId="1" type="noConversion"/>
  </si>
  <si>
    <t>怪物组</t>
    <phoneticPr fontId="1" type="noConversion"/>
  </si>
  <si>
    <t>等级</t>
    <phoneticPr fontId="1" type="noConversion"/>
  </si>
  <si>
    <t>演示</t>
    <phoneticPr fontId="1" type="noConversion"/>
  </si>
  <si>
    <t>模块1</t>
    <phoneticPr fontId="1" type="noConversion"/>
  </si>
  <si>
    <t>分隔符</t>
    <phoneticPr fontId="1" type="noConversion"/>
  </si>
  <si>
    <t>前面追加</t>
    <phoneticPr fontId="1" type="noConversion"/>
  </si>
  <si>
    <t>后面追加</t>
    <phoneticPr fontId="1" type="noConversion"/>
  </si>
  <si>
    <t>模块2</t>
  </si>
  <si>
    <t>模块3</t>
  </si>
  <si>
    <t>模块4</t>
  </si>
  <si>
    <t>2000,1,3</t>
    <phoneticPr fontId="1" type="noConversion"/>
  </si>
  <si>
    <t>4000,1,3</t>
    <phoneticPr fontId="1" type="noConversion"/>
  </si>
  <si>
    <t>2000,1,4</t>
  </si>
  <si>
    <t>3000,1,4</t>
  </si>
  <si>
    <t>4000,1,4</t>
  </si>
  <si>
    <t>选区</t>
    <phoneticPr fontId="1" type="noConversion"/>
  </si>
  <si>
    <t>分隔符</t>
    <phoneticPr fontId="1" type="noConversion"/>
  </si>
  <si>
    <t>空值替换符</t>
    <phoneticPr fontId="1" type="noConversion"/>
  </si>
  <si>
    <t>2000+2001+2002+2002+2003</t>
    <phoneticPr fontId="1" type="noConversion"/>
  </si>
  <si>
    <t>单元格</t>
    <phoneticPr fontId="1" type="noConversion"/>
  </si>
  <si>
    <t>单元格</t>
    <phoneticPr fontId="1" type="noConversion"/>
  </si>
  <si>
    <t>分隔符</t>
    <phoneticPr fontId="1" type="noConversion"/>
  </si>
  <si>
    <t>{</t>
    <phoneticPr fontId="1" type="noConversion"/>
  </si>
  <si>
    <t>prop</t>
    <phoneticPr fontId="1" type="noConversion"/>
  </si>
  <si>
    <t>,</t>
    <phoneticPr fontId="1" type="noConversion"/>
  </si>
  <si>
    <t>&amp;</t>
    <phoneticPr fontId="1" type="noConversion"/>
  </si>
  <si>
    <t>&amp;</t>
    <phoneticPr fontId="1" type="noConversion"/>
  </si>
  <si>
    <t>money</t>
    <phoneticPr fontId="1" type="noConversion"/>
  </si>
  <si>
    <t>}</t>
    <phoneticPr fontId="1" type="noConversion"/>
  </si>
  <si>
    <t>}</t>
    <phoneticPr fontId="1" type="noConversion"/>
  </si>
  <si>
    <t>&amp;</t>
    <phoneticPr fontId="1" type="noConversion"/>
  </si>
  <si>
    <t>选区1</t>
    <phoneticPr fontId="1" type="noConversion"/>
  </si>
  <si>
    <t>选区2</t>
    <phoneticPr fontId="1" type="noConversion"/>
  </si>
  <si>
    <t>取判断选区值</t>
    <phoneticPr fontId="1" type="noConversion"/>
  </si>
  <si>
    <t>判断符号</t>
    <phoneticPr fontId="1" type="noConversion"/>
  </si>
  <si>
    <t>判断内容</t>
    <phoneticPr fontId="1" type="noConversion"/>
  </si>
  <si>
    <t>上下拼接符</t>
    <phoneticPr fontId="1" type="noConversion"/>
  </si>
  <si>
    <t>两个单元格拼接符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</si>
</sst>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3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减伤率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基础公式!$H$47:$H$76</c:f>
              <c:numCache>
                <c:formatCode>General</c:formatCode>
                <c:ptCount val="30"/>
                <c:pt idx="0">
                  <c:v>9.0909090909090912E-2</c:v>
                </c:pt>
                <c:pt idx="1">
                  <c:v>0.16666666666666666</c:v>
                </c:pt>
                <c:pt idx="2">
                  <c:v>0.23076923076923078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0.44444444444444442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0.56521739130434778</c:v>
                </c:pt>
                <c:pt idx="13">
                  <c:v>0.58333333333333337</c:v>
                </c:pt>
                <c:pt idx="14">
                  <c:v>0.6</c:v>
                </c:pt>
                <c:pt idx="15">
                  <c:v>0.61538461538461542</c:v>
                </c:pt>
                <c:pt idx="16">
                  <c:v>0.62962962962962965</c:v>
                </c:pt>
                <c:pt idx="17">
                  <c:v>0.6428571428571429</c:v>
                </c:pt>
                <c:pt idx="18">
                  <c:v>0.65517241379310343</c:v>
                </c:pt>
                <c:pt idx="19">
                  <c:v>0.66666666666666663</c:v>
                </c:pt>
                <c:pt idx="20">
                  <c:v>0.67741935483870963</c:v>
                </c:pt>
                <c:pt idx="21">
                  <c:v>0.6875</c:v>
                </c:pt>
                <c:pt idx="22">
                  <c:v>0.69696969696969702</c:v>
                </c:pt>
                <c:pt idx="23">
                  <c:v>0.70588235294117652</c:v>
                </c:pt>
                <c:pt idx="24">
                  <c:v>0.7142857142857143</c:v>
                </c:pt>
                <c:pt idx="25">
                  <c:v>0.72222222222222221</c:v>
                </c:pt>
                <c:pt idx="26">
                  <c:v>0.72972972972972971</c:v>
                </c:pt>
                <c:pt idx="27">
                  <c:v>0.73684210526315785</c:v>
                </c:pt>
                <c:pt idx="28">
                  <c:v>0.74358974358974361</c:v>
                </c:pt>
                <c:pt idx="29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10-42E2-AF83-EE503B7D4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8324512"/>
        <c:axId val="-508319072"/>
      </c:lineChart>
      <c:catAx>
        <c:axId val="-508324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19072"/>
        <c:crosses val="autoZero"/>
        <c:auto val="1"/>
        <c:lblAlgn val="ctr"/>
        <c:lblOffset val="100"/>
        <c:noMultiLvlLbl val="0"/>
      </c:catAx>
      <c:valAx>
        <c:axId val="-50831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2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增长率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基础公式!$I$47:$I$76</c:f>
              <c:numCache>
                <c:formatCode>General</c:formatCode>
                <c:ptCount val="30"/>
                <c:pt idx="0">
                  <c:v>9.0909090909090912E-2</c:v>
                </c:pt>
                <c:pt idx="1">
                  <c:v>7.5757575757575746E-2</c:v>
                </c:pt>
                <c:pt idx="2">
                  <c:v>6.4102564102564125E-2</c:v>
                </c:pt>
                <c:pt idx="3">
                  <c:v>5.4945054945054916E-2</c:v>
                </c:pt>
                <c:pt idx="4">
                  <c:v>4.7619047619047616E-2</c:v>
                </c:pt>
                <c:pt idx="5">
                  <c:v>4.1666666666666685E-2</c:v>
                </c:pt>
                <c:pt idx="6">
                  <c:v>3.6764705882352922E-2</c:v>
                </c:pt>
                <c:pt idx="7">
                  <c:v>3.2679738562091498E-2</c:v>
                </c:pt>
                <c:pt idx="8">
                  <c:v>2.9239766081871343E-2</c:v>
                </c:pt>
                <c:pt idx="9">
                  <c:v>2.6315789473684237E-2</c:v>
                </c:pt>
                <c:pt idx="10">
                  <c:v>2.3809523809523836E-2</c:v>
                </c:pt>
                <c:pt idx="11">
                  <c:v>2.1645021645021578E-2</c:v>
                </c:pt>
                <c:pt idx="12">
                  <c:v>1.9762845849802368E-2</c:v>
                </c:pt>
                <c:pt idx="13">
                  <c:v>1.8115942028985588E-2</c:v>
                </c:pt>
                <c:pt idx="14">
                  <c:v>1.6666666666666607E-2</c:v>
                </c:pt>
                <c:pt idx="15">
                  <c:v>1.5384615384615441E-2</c:v>
                </c:pt>
                <c:pt idx="16">
                  <c:v>1.4245014245014231E-2</c:v>
                </c:pt>
                <c:pt idx="17">
                  <c:v>1.3227513227513255E-2</c:v>
                </c:pt>
                <c:pt idx="18">
                  <c:v>1.2315270935960521E-2</c:v>
                </c:pt>
                <c:pt idx="19">
                  <c:v>1.1494252873563204E-2</c:v>
                </c:pt>
                <c:pt idx="20">
                  <c:v>1.0752688172043001E-2</c:v>
                </c:pt>
                <c:pt idx="21">
                  <c:v>1.0080645161290369E-2</c:v>
                </c:pt>
                <c:pt idx="22">
                  <c:v>9.4696969696970168E-3</c:v>
                </c:pt>
                <c:pt idx="23">
                  <c:v>8.9126559714794995E-3</c:v>
                </c:pt>
                <c:pt idx="24">
                  <c:v>8.4033613445377853E-3</c:v>
                </c:pt>
                <c:pt idx="25">
                  <c:v>7.9365079365079083E-3</c:v>
                </c:pt>
                <c:pt idx="26">
                  <c:v>7.5075075075075048E-3</c:v>
                </c:pt>
                <c:pt idx="27">
                  <c:v>7.1123755334281391E-3</c:v>
                </c:pt>
                <c:pt idx="28">
                  <c:v>6.7476383265857587E-3</c:v>
                </c:pt>
                <c:pt idx="29">
                  <c:v>6.4102564102563875E-3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F8-402C-9807-69AD677FD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8316352"/>
        <c:axId val="-508313088"/>
      </c:lineChart>
      <c:catAx>
        <c:axId val="-508316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13088"/>
        <c:crosses val="autoZero"/>
        <c:auto val="1"/>
        <c:lblAlgn val="ctr"/>
        <c:lblOffset val="100"/>
        <c:noMultiLvlLbl val="0"/>
      </c:catAx>
      <c:valAx>
        <c:axId val="-50831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1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48</xdr:row>
      <xdr:rowOff>0</xdr:rowOff>
    </xdr:from>
    <xdr:to>
      <xdr:col>16</xdr:col>
      <xdr:colOff>457200</xdr:colOff>
      <xdr:row>63</xdr:row>
      <xdr:rowOff>28575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48</xdr:row>
      <xdr:rowOff>0</xdr:rowOff>
    </xdr:from>
    <xdr:to>
      <xdr:col>23</xdr:col>
      <xdr:colOff>457200</xdr:colOff>
      <xdr:row>63</xdr:row>
      <xdr:rowOff>28575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</xdr:row>
          <xdr:rowOff>85725</xdr:rowOff>
        </xdr:from>
        <xdr:to>
          <xdr:col>8</xdr:col>
          <xdr:colOff>361950</xdr:colOff>
          <xdr:row>7</xdr:row>
          <xdr:rowOff>9525</xdr:rowOff>
        </xdr:to>
        <xdr:sp macro="" textlink="">
          <xdr:nvSpPr>
            <xdr:cNvPr id="2049" name="运算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5013;&#22791;&#25968;&#25454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装备数据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T352"/>
  <sheetViews>
    <sheetView workbookViewId="0">
      <selection activeCell="G8" sqref="G8"/>
    </sheetView>
  </sheetViews>
  <sheetFormatPr defaultRowHeight="14.25" x14ac:dyDescent="0.2"/>
  <sheetData>
    <row r="3" spans="2:4" x14ac:dyDescent="0.2">
      <c r="B3" s="1" t="s">
        <v>35</v>
      </c>
      <c r="C3" t="s">
        <v>36</v>
      </c>
    </row>
    <row r="5" spans="2:4" x14ac:dyDescent="0.2">
      <c r="C5" t="s">
        <v>37</v>
      </c>
      <c r="D5" t="s">
        <v>39</v>
      </c>
    </row>
    <row r="6" spans="2:4" x14ac:dyDescent="0.2">
      <c r="C6" t="s">
        <v>38</v>
      </c>
      <c r="D6" t="s">
        <v>40</v>
      </c>
    </row>
    <row r="9" spans="2:4" x14ac:dyDescent="0.2">
      <c r="B9" t="s">
        <v>45</v>
      </c>
    </row>
    <row r="11" spans="2:4" x14ac:dyDescent="0.2">
      <c r="C11" t="s">
        <v>75</v>
      </c>
    </row>
    <row r="12" spans="2:4" x14ac:dyDescent="0.2">
      <c r="C12" t="s">
        <v>43</v>
      </c>
    </row>
    <row r="14" spans="2:4" x14ac:dyDescent="0.2">
      <c r="C14" t="s">
        <v>42</v>
      </c>
    </row>
    <row r="15" spans="2:4" x14ac:dyDescent="0.2">
      <c r="C15" t="s">
        <v>41</v>
      </c>
    </row>
    <row r="17" spans="3:20" x14ac:dyDescent="0.2">
      <c r="C17" t="s">
        <v>44</v>
      </c>
    </row>
    <row r="19" spans="3:20" x14ac:dyDescent="0.2">
      <c r="C19" t="s">
        <v>70</v>
      </c>
    </row>
    <row r="20" spans="3:20" x14ac:dyDescent="0.2">
      <c r="D20" s="1" t="s">
        <v>46</v>
      </c>
      <c r="E20" s="1">
        <v>5778872</v>
      </c>
      <c r="F20" s="1" t="s">
        <v>47</v>
      </c>
      <c r="G20" s="1">
        <v>0.39987482645830902</v>
      </c>
      <c r="J20" s="1" t="s">
        <v>58</v>
      </c>
      <c r="K20" s="1" t="s">
        <v>57</v>
      </c>
      <c r="L20" s="1" t="s">
        <v>59</v>
      </c>
      <c r="M20" s="1"/>
      <c r="N20" s="1" t="s">
        <v>60</v>
      </c>
      <c r="O20" s="1" t="s">
        <v>61</v>
      </c>
      <c r="P20" s="1" t="s">
        <v>62</v>
      </c>
      <c r="Q20" s="1"/>
      <c r="R20" s="1" t="s">
        <v>63</v>
      </c>
      <c r="S20" s="1" t="s">
        <v>64</v>
      </c>
      <c r="T20" s="1" t="s">
        <v>69</v>
      </c>
    </row>
    <row r="21" spans="3:20" x14ac:dyDescent="0.2">
      <c r="D21" s="1" t="s">
        <v>48</v>
      </c>
      <c r="E21" s="3">
        <v>726247</v>
      </c>
      <c r="F21" s="1" t="s">
        <v>49</v>
      </c>
      <c r="G21" s="1">
        <v>0.60012517354169104</v>
      </c>
      <c r="J21" s="2">
        <v>10000</v>
      </c>
      <c r="K21" s="1">
        <f t="shared" ref="K21:K40" si="0">J21*5/3</f>
        <v>16666.666666666668</v>
      </c>
      <c r="L21" s="1">
        <f t="shared" ref="L21:L40" si="1">J21*2/3</f>
        <v>6666.666666666667</v>
      </c>
      <c r="M21" s="1"/>
      <c r="N21" s="1">
        <f t="shared" ref="N21:N40" si="2">$E$28+J21</f>
        <v>251635</v>
      </c>
      <c r="O21" s="1">
        <f t="shared" ref="O21:O40" si="3">$E$29+L21</f>
        <v>167756.66666666666</v>
      </c>
      <c r="P21" s="1">
        <f t="shared" ref="P21:P40" si="4">$E$27+K21</f>
        <v>419391.66666666669</v>
      </c>
      <c r="Q21" s="1"/>
      <c r="R21" s="1">
        <f t="shared" ref="R21:R40" si="5">1-1/(1+N21/O21)</f>
        <v>0.6</v>
      </c>
      <c r="S21" s="1">
        <f>P21*R21</f>
        <v>251635</v>
      </c>
      <c r="T21" s="2">
        <f t="shared" ref="T21:T40" si="6">S21-$G$28</f>
        <v>10000</v>
      </c>
    </row>
    <row r="22" spans="3:20" x14ac:dyDescent="0.2">
      <c r="D22" s="1" t="s">
        <v>50</v>
      </c>
      <c r="E22" s="1">
        <v>241635</v>
      </c>
      <c r="F22" s="1" t="s">
        <v>65</v>
      </c>
      <c r="G22" s="1">
        <f>E21*G21</f>
        <v>435839.1069091325</v>
      </c>
      <c r="J22" s="2">
        <v>20000</v>
      </c>
      <c r="K22" s="1">
        <f t="shared" si="0"/>
        <v>33333.333333333336</v>
      </c>
      <c r="L22" s="1">
        <f t="shared" si="1"/>
        <v>13333.333333333334</v>
      </c>
      <c r="M22" s="1"/>
      <c r="N22" s="1">
        <f t="shared" si="2"/>
        <v>261635</v>
      </c>
      <c r="O22" s="1">
        <f t="shared" si="3"/>
        <v>174423.33333333334</v>
      </c>
      <c r="P22" s="1">
        <f t="shared" si="4"/>
        <v>436058.33333333331</v>
      </c>
      <c r="Q22" s="1"/>
      <c r="R22" s="1">
        <f t="shared" si="5"/>
        <v>0.6</v>
      </c>
      <c r="S22" s="1">
        <f t="shared" ref="S22:S40" si="7">P22*R22</f>
        <v>261634.99999999997</v>
      </c>
      <c r="T22" s="2">
        <f t="shared" si="6"/>
        <v>19999.999999999971</v>
      </c>
    </row>
    <row r="23" spans="3:20" x14ac:dyDescent="0.2">
      <c r="D23" s="1" t="s">
        <v>51</v>
      </c>
      <c r="E23" s="1">
        <v>161006</v>
      </c>
      <c r="F23" s="1"/>
      <c r="G23" s="1"/>
      <c r="J23" s="2">
        <v>30000</v>
      </c>
      <c r="K23" s="1">
        <f t="shared" si="0"/>
        <v>50000</v>
      </c>
      <c r="L23" s="1">
        <f t="shared" si="1"/>
        <v>20000</v>
      </c>
      <c r="M23" s="1"/>
      <c r="N23" s="1">
        <f t="shared" si="2"/>
        <v>271635</v>
      </c>
      <c r="O23" s="1">
        <f t="shared" si="3"/>
        <v>181090</v>
      </c>
      <c r="P23" s="1">
        <f t="shared" si="4"/>
        <v>452725</v>
      </c>
      <c r="Q23" s="1"/>
      <c r="R23" s="1">
        <f t="shared" si="5"/>
        <v>0.6</v>
      </c>
      <c r="S23" s="1">
        <f>P23*R23</f>
        <v>271635</v>
      </c>
      <c r="T23" s="2">
        <f t="shared" si="6"/>
        <v>30000</v>
      </c>
    </row>
    <row r="24" spans="3:20" x14ac:dyDescent="0.2">
      <c r="D24" s="1"/>
      <c r="E24" s="1"/>
      <c r="F24" s="1"/>
      <c r="G24" s="1"/>
      <c r="J24" s="2">
        <v>40000</v>
      </c>
      <c r="K24" s="1">
        <f t="shared" si="0"/>
        <v>66666.666666666672</v>
      </c>
      <c r="L24" s="1">
        <f t="shared" si="1"/>
        <v>26666.666666666668</v>
      </c>
      <c r="M24" s="1"/>
      <c r="N24" s="1">
        <f t="shared" si="2"/>
        <v>281635</v>
      </c>
      <c r="O24" s="1">
        <f t="shared" si="3"/>
        <v>187756.66666666666</v>
      </c>
      <c r="P24" s="1">
        <f t="shared" si="4"/>
        <v>469391.66666666669</v>
      </c>
      <c r="Q24" s="1"/>
      <c r="R24" s="1">
        <f t="shared" si="5"/>
        <v>0.6</v>
      </c>
      <c r="S24" s="1">
        <f>P24*R24</f>
        <v>281635</v>
      </c>
      <c r="T24" s="2">
        <f t="shared" si="6"/>
        <v>40000</v>
      </c>
    </row>
    <row r="25" spans="3:20" x14ac:dyDescent="0.2">
      <c r="D25" s="1"/>
      <c r="E25" s="1"/>
      <c r="F25" s="1"/>
      <c r="G25" s="1"/>
      <c r="J25" s="2">
        <v>50000</v>
      </c>
      <c r="K25" s="1">
        <f t="shared" si="0"/>
        <v>83333.333333333328</v>
      </c>
      <c r="L25" s="1">
        <f t="shared" si="1"/>
        <v>33333.333333333336</v>
      </c>
      <c r="M25" s="1"/>
      <c r="N25" s="1">
        <f t="shared" si="2"/>
        <v>291635</v>
      </c>
      <c r="O25" s="1">
        <f t="shared" si="3"/>
        <v>194423.33333333334</v>
      </c>
      <c r="P25" s="1">
        <f t="shared" si="4"/>
        <v>486058.33333333331</v>
      </c>
      <c r="Q25" s="1"/>
      <c r="R25" s="1">
        <f t="shared" si="5"/>
        <v>0.6</v>
      </c>
      <c r="S25" s="1">
        <f>P25*R25</f>
        <v>291635</v>
      </c>
      <c r="T25" s="2">
        <f t="shared" si="6"/>
        <v>50000</v>
      </c>
    </row>
    <row r="26" spans="3:20" x14ac:dyDescent="0.2">
      <c r="D26" s="1" t="s">
        <v>52</v>
      </c>
      <c r="E26" s="1">
        <v>5778872</v>
      </c>
      <c r="F26" s="1" t="s">
        <v>53</v>
      </c>
      <c r="G26" s="1">
        <f>1/(1+E28/E29)</f>
        <v>0.4</v>
      </c>
      <c r="J26" s="2">
        <v>60000</v>
      </c>
      <c r="K26" s="1">
        <f t="shared" si="0"/>
        <v>100000</v>
      </c>
      <c r="L26" s="1">
        <f t="shared" si="1"/>
        <v>40000</v>
      </c>
      <c r="M26" s="1"/>
      <c r="N26" s="1">
        <f t="shared" si="2"/>
        <v>301635</v>
      </c>
      <c r="O26" s="1">
        <f t="shared" si="3"/>
        <v>201090</v>
      </c>
      <c r="P26" s="1">
        <f t="shared" si="4"/>
        <v>502725</v>
      </c>
      <c r="Q26" s="1"/>
      <c r="R26" s="1">
        <f t="shared" si="5"/>
        <v>0.6</v>
      </c>
      <c r="S26" s="1">
        <f>P26*R26</f>
        <v>301635</v>
      </c>
      <c r="T26" s="2">
        <f t="shared" si="6"/>
        <v>60000</v>
      </c>
    </row>
    <row r="27" spans="3:20" x14ac:dyDescent="0.2">
      <c r="D27" s="1" t="s">
        <v>54</v>
      </c>
      <c r="E27" s="4">
        <f>E28*5/3</f>
        <v>402725</v>
      </c>
      <c r="F27" s="1" t="s">
        <v>55</v>
      </c>
      <c r="G27" s="1">
        <f>1-1/(1+E28/E29)</f>
        <v>0.6</v>
      </c>
      <c r="J27" s="2">
        <v>70000</v>
      </c>
      <c r="K27" s="1">
        <f t="shared" si="0"/>
        <v>116666.66666666667</v>
      </c>
      <c r="L27" s="1">
        <f t="shared" si="1"/>
        <v>46666.666666666664</v>
      </c>
      <c r="M27" s="1"/>
      <c r="N27" s="1">
        <f t="shared" si="2"/>
        <v>311635</v>
      </c>
      <c r="O27" s="1">
        <f t="shared" si="3"/>
        <v>207756.66666666666</v>
      </c>
      <c r="P27" s="1">
        <f t="shared" si="4"/>
        <v>519391.66666666669</v>
      </c>
      <c r="Q27" s="1"/>
      <c r="R27" s="1">
        <f t="shared" si="5"/>
        <v>0.6</v>
      </c>
      <c r="S27" s="1">
        <f t="shared" si="7"/>
        <v>311635</v>
      </c>
      <c r="T27" s="2">
        <f t="shared" si="6"/>
        <v>70000</v>
      </c>
    </row>
    <row r="28" spans="3:20" x14ac:dyDescent="0.2">
      <c r="D28" s="1" t="s">
        <v>50</v>
      </c>
      <c r="E28" s="1">
        <v>241635</v>
      </c>
      <c r="F28" s="1" t="s">
        <v>65</v>
      </c>
      <c r="G28" s="1">
        <f>E27*G27</f>
        <v>241635</v>
      </c>
      <c r="J28" s="2">
        <v>80000</v>
      </c>
      <c r="K28" s="1">
        <f t="shared" si="0"/>
        <v>133333.33333333334</v>
      </c>
      <c r="L28" s="1">
        <f t="shared" si="1"/>
        <v>53333.333333333336</v>
      </c>
      <c r="M28" s="1"/>
      <c r="N28" s="1">
        <f t="shared" si="2"/>
        <v>321635</v>
      </c>
      <c r="O28" s="1">
        <f t="shared" si="3"/>
        <v>214423.33333333334</v>
      </c>
      <c r="P28" s="1">
        <f t="shared" si="4"/>
        <v>536058.33333333337</v>
      </c>
      <c r="Q28" s="1"/>
      <c r="R28" s="1">
        <f t="shared" si="5"/>
        <v>0.6</v>
      </c>
      <c r="S28" s="1">
        <f>P28*R28</f>
        <v>321635</v>
      </c>
      <c r="T28" s="2">
        <f t="shared" si="6"/>
        <v>80000</v>
      </c>
    </row>
    <row r="29" spans="3:20" x14ac:dyDescent="0.2">
      <c r="D29" s="1" t="s">
        <v>56</v>
      </c>
      <c r="E29" s="1">
        <f>E28*2/3</f>
        <v>161090</v>
      </c>
      <c r="J29" s="2">
        <v>90000</v>
      </c>
      <c r="K29" s="1">
        <f t="shared" si="0"/>
        <v>150000</v>
      </c>
      <c r="L29" s="1">
        <f t="shared" si="1"/>
        <v>60000</v>
      </c>
      <c r="M29" s="1"/>
      <c r="N29" s="1">
        <f t="shared" si="2"/>
        <v>331635</v>
      </c>
      <c r="O29" s="1">
        <f t="shared" si="3"/>
        <v>221090</v>
      </c>
      <c r="P29" s="1">
        <f t="shared" si="4"/>
        <v>552725</v>
      </c>
      <c r="Q29" s="1"/>
      <c r="R29" s="1">
        <f t="shared" si="5"/>
        <v>0.6</v>
      </c>
      <c r="S29" s="1">
        <f t="shared" si="7"/>
        <v>331635</v>
      </c>
      <c r="T29" s="2">
        <f t="shared" si="6"/>
        <v>90000</v>
      </c>
    </row>
    <row r="30" spans="3:20" x14ac:dyDescent="0.2">
      <c r="J30" s="2">
        <v>100000</v>
      </c>
      <c r="K30" s="1">
        <f t="shared" si="0"/>
        <v>166666.66666666666</v>
      </c>
      <c r="L30" s="1">
        <f t="shared" si="1"/>
        <v>66666.666666666672</v>
      </c>
      <c r="M30" s="1"/>
      <c r="N30" s="1">
        <f t="shared" si="2"/>
        <v>341635</v>
      </c>
      <c r="O30" s="1">
        <f t="shared" si="3"/>
        <v>227756.66666666669</v>
      </c>
      <c r="P30" s="1">
        <f t="shared" si="4"/>
        <v>569391.66666666663</v>
      </c>
      <c r="Q30" s="1"/>
      <c r="R30" s="1">
        <f t="shared" si="5"/>
        <v>0.6</v>
      </c>
      <c r="S30" s="1">
        <f t="shared" si="7"/>
        <v>341634.99999999994</v>
      </c>
      <c r="T30" s="2">
        <f t="shared" si="6"/>
        <v>99999.999999999942</v>
      </c>
    </row>
    <row r="31" spans="3:20" x14ac:dyDescent="0.2">
      <c r="J31" s="2">
        <v>110000</v>
      </c>
      <c r="K31" s="1">
        <f t="shared" si="0"/>
        <v>183333.33333333334</v>
      </c>
      <c r="L31" s="1">
        <f t="shared" si="1"/>
        <v>73333.333333333328</v>
      </c>
      <c r="M31" s="1"/>
      <c r="N31" s="1">
        <f t="shared" si="2"/>
        <v>351635</v>
      </c>
      <c r="O31" s="1">
        <f t="shared" si="3"/>
        <v>234423.33333333331</v>
      </c>
      <c r="P31" s="1">
        <f t="shared" si="4"/>
        <v>586058.33333333337</v>
      </c>
      <c r="Q31" s="1"/>
      <c r="R31" s="1">
        <f t="shared" si="5"/>
        <v>0.6</v>
      </c>
      <c r="S31" s="1">
        <f t="shared" si="7"/>
        <v>351635</v>
      </c>
      <c r="T31" s="2">
        <f t="shared" si="6"/>
        <v>110000</v>
      </c>
    </row>
    <row r="32" spans="3:20" x14ac:dyDescent="0.2">
      <c r="E32" t="s">
        <v>66</v>
      </c>
      <c r="F32" t="s">
        <v>67</v>
      </c>
      <c r="G32" t="s">
        <v>68</v>
      </c>
      <c r="J32" s="2">
        <v>120000</v>
      </c>
      <c r="K32" s="1">
        <f t="shared" si="0"/>
        <v>200000</v>
      </c>
      <c r="L32" s="1">
        <f t="shared" si="1"/>
        <v>80000</v>
      </c>
      <c r="M32" s="1"/>
      <c r="N32" s="1">
        <f t="shared" si="2"/>
        <v>361635</v>
      </c>
      <c r="O32" s="1">
        <f t="shared" si="3"/>
        <v>241090</v>
      </c>
      <c r="P32" s="1">
        <f t="shared" si="4"/>
        <v>602725</v>
      </c>
      <c r="Q32" s="1"/>
      <c r="R32" s="1">
        <f t="shared" si="5"/>
        <v>0.6</v>
      </c>
      <c r="S32" s="1">
        <f t="shared" si="7"/>
        <v>361635</v>
      </c>
      <c r="T32" s="2">
        <f t="shared" si="6"/>
        <v>120000</v>
      </c>
    </row>
    <row r="33" spans="3:20" x14ac:dyDescent="0.2">
      <c r="E33">
        <f>F33*5/3</f>
        <v>1.6666666666666667</v>
      </c>
      <c r="F33">
        <v>1</v>
      </c>
      <c r="G33">
        <f>F33*2/3</f>
        <v>0.66666666666666663</v>
      </c>
      <c r="J33" s="2">
        <v>130000</v>
      </c>
      <c r="K33" s="1">
        <f t="shared" si="0"/>
        <v>216666.66666666666</v>
      </c>
      <c r="L33" s="1">
        <f t="shared" si="1"/>
        <v>86666.666666666672</v>
      </c>
      <c r="M33" s="1"/>
      <c r="N33" s="1">
        <f t="shared" si="2"/>
        <v>371635</v>
      </c>
      <c r="O33" s="1">
        <f t="shared" si="3"/>
        <v>247756.66666666669</v>
      </c>
      <c r="P33" s="1">
        <f t="shared" si="4"/>
        <v>619391.66666666663</v>
      </c>
      <c r="Q33" s="1"/>
      <c r="R33" s="1">
        <f t="shared" si="5"/>
        <v>0.6</v>
      </c>
      <c r="S33" s="1">
        <f t="shared" si="7"/>
        <v>371634.99999999994</v>
      </c>
      <c r="T33" s="2">
        <f t="shared" si="6"/>
        <v>129999.99999999994</v>
      </c>
    </row>
    <row r="34" spans="3:20" x14ac:dyDescent="0.2">
      <c r="J34" s="2">
        <v>140000</v>
      </c>
      <c r="K34" s="1">
        <f t="shared" si="0"/>
        <v>233333.33333333334</v>
      </c>
      <c r="L34" s="1">
        <f t="shared" si="1"/>
        <v>93333.333333333328</v>
      </c>
      <c r="M34" s="1"/>
      <c r="N34" s="1">
        <f t="shared" si="2"/>
        <v>381635</v>
      </c>
      <c r="O34" s="1">
        <f t="shared" si="3"/>
        <v>254423.33333333331</v>
      </c>
      <c r="P34" s="1">
        <f t="shared" si="4"/>
        <v>636058.33333333337</v>
      </c>
      <c r="Q34" s="1"/>
      <c r="R34" s="1">
        <f t="shared" si="5"/>
        <v>0.6</v>
      </c>
      <c r="S34" s="1">
        <f t="shared" si="7"/>
        <v>381635</v>
      </c>
      <c r="T34" s="2">
        <f t="shared" si="6"/>
        <v>140000</v>
      </c>
    </row>
    <row r="35" spans="3:20" x14ac:dyDescent="0.2">
      <c r="J35" s="2">
        <v>150000</v>
      </c>
      <c r="K35" s="1">
        <f t="shared" si="0"/>
        <v>250000</v>
      </c>
      <c r="L35" s="1">
        <f t="shared" si="1"/>
        <v>100000</v>
      </c>
      <c r="M35" s="1"/>
      <c r="N35" s="1">
        <f t="shared" si="2"/>
        <v>391635</v>
      </c>
      <c r="O35" s="1">
        <f t="shared" si="3"/>
        <v>261090</v>
      </c>
      <c r="P35" s="1">
        <f t="shared" si="4"/>
        <v>652725</v>
      </c>
      <c r="Q35" s="1"/>
      <c r="R35" s="1">
        <f t="shared" si="5"/>
        <v>0.6</v>
      </c>
      <c r="S35" s="1">
        <f t="shared" si="7"/>
        <v>391635</v>
      </c>
      <c r="T35" s="2">
        <f t="shared" si="6"/>
        <v>150000</v>
      </c>
    </row>
    <row r="36" spans="3:20" x14ac:dyDescent="0.2">
      <c r="J36" s="2">
        <v>160000</v>
      </c>
      <c r="K36" s="1">
        <f t="shared" si="0"/>
        <v>266666.66666666669</v>
      </c>
      <c r="L36" s="1">
        <f t="shared" si="1"/>
        <v>106666.66666666667</v>
      </c>
      <c r="M36" s="1"/>
      <c r="N36" s="1">
        <f t="shared" si="2"/>
        <v>401635</v>
      </c>
      <c r="O36" s="1">
        <f t="shared" si="3"/>
        <v>267756.66666666669</v>
      </c>
      <c r="P36" s="1">
        <f t="shared" si="4"/>
        <v>669391.66666666674</v>
      </c>
      <c r="Q36" s="1"/>
      <c r="R36" s="1">
        <f t="shared" si="5"/>
        <v>0.6</v>
      </c>
      <c r="S36" s="1">
        <f t="shared" si="7"/>
        <v>401635.00000000006</v>
      </c>
      <c r="T36" s="2">
        <f t="shared" si="6"/>
        <v>160000.00000000006</v>
      </c>
    </row>
    <row r="37" spans="3:20" x14ac:dyDescent="0.2">
      <c r="J37" s="2">
        <v>170000</v>
      </c>
      <c r="K37" s="1">
        <f t="shared" si="0"/>
        <v>283333.33333333331</v>
      </c>
      <c r="L37" s="1">
        <f t="shared" si="1"/>
        <v>113333.33333333333</v>
      </c>
      <c r="M37" s="1"/>
      <c r="N37" s="1">
        <f t="shared" si="2"/>
        <v>411635</v>
      </c>
      <c r="O37" s="1">
        <f t="shared" si="3"/>
        <v>274423.33333333331</v>
      </c>
      <c r="P37" s="1">
        <f t="shared" si="4"/>
        <v>686058.33333333326</v>
      </c>
      <c r="Q37" s="1"/>
      <c r="R37" s="1">
        <f t="shared" si="5"/>
        <v>0.6</v>
      </c>
      <c r="S37" s="1">
        <f t="shared" si="7"/>
        <v>411634.99999999994</v>
      </c>
      <c r="T37" s="2">
        <f t="shared" si="6"/>
        <v>169999.99999999994</v>
      </c>
    </row>
    <row r="38" spans="3:20" x14ac:dyDescent="0.2">
      <c r="J38" s="2">
        <v>180000</v>
      </c>
      <c r="K38" s="1">
        <f t="shared" si="0"/>
        <v>300000</v>
      </c>
      <c r="L38" s="1">
        <f t="shared" si="1"/>
        <v>120000</v>
      </c>
      <c r="M38" s="1"/>
      <c r="N38" s="1">
        <f t="shared" si="2"/>
        <v>421635</v>
      </c>
      <c r="O38" s="1">
        <f t="shared" si="3"/>
        <v>281090</v>
      </c>
      <c r="P38" s="1">
        <f t="shared" si="4"/>
        <v>702725</v>
      </c>
      <c r="Q38" s="1"/>
      <c r="R38" s="1">
        <f t="shared" si="5"/>
        <v>0.6</v>
      </c>
      <c r="S38" s="1">
        <f t="shared" si="7"/>
        <v>421635</v>
      </c>
      <c r="T38" s="2">
        <f t="shared" si="6"/>
        <v>180000</v>
      </c>
    </row>
    <row r="39" spans="3:20" x14ac:dyDescent="0.2">
      <c r="J39" s="2">
        <v>190000</v>
      </c>
      <c r="K39" s="1">
        <f t="shared" si="0"/>
        <v>316666.66666666669</v>
      </c>
      <c r="L39" s="1">
        <f t="shared" si="1"/>
        <v>126666.66666666667</v>
      </c>
      <c r="M39" s="1"/>
      <c r="N39" s="1">
        <f t="shared" si="2"/>
        <v>431635</v>
      </c>
      <c r="O39" s="1">
        <f t="shared" si="3"/>
        <v>287756.66666666669</v>
      </c>
      <c r="P39" s="1">
        <f t="shared" si="4"/>
        <v>719391.66666666674</v>
      </c>
      <c r="Q39" s="1"/>
      <c r="R39" s="1">
        <f t="shared" si="5"/>
        <v>0.6</v>
      </c>
      <c r="S39" s="1">
        <f t="shared" si="7"/>
        <v>431635.00000000006</v>
      </c>
      <c r="T39" s="2">
        <f t="shared" si="6"/>
        <v>190000.00000000006</v>
      </c>
    </row>
    <row r="40" spans="3:20" x14ac:dyDescent="0.2">
      <c r="J40" s="2">
        <v>200000</v>
      </c>
      <c r="K40" s="1">
        <f t="shared" si="0"/>
        <v>333333.33333333331</v>
      </c>
      <c r="L40" s="1">
        <f t="shared" si="1"/>
        <v>133333.33333333334</v>
      </c>
      <c r="M40" s="1"/>
      <c r="N40" s="1">
        <f t="shared" si="2"/>
        <v>441635</v>
      </c>
      <c r="O40" s="1">
        <f t="shared" si="3"/>
        <v>294423.33333333337</v>
      </c>
      <c r="P40" s="1">
        <f t="shared" si="4"/>
        <v>736058.33333333326</v>
      </c>
      <c r="Q40" s="1"/>
      <c r="R40" s="1">
        <f t="shared" si="5"/>
        <v>0.6</v>
      </c>
      <c r="S40" s="1">
        <f t="shared" si="7"/>
        <v>441634.99999999994</v>
      </c>
      <c r="T40" s="2">
        <f t="shared" si="6"/>
        <v>199999.99999999994</v>
      </c>
    </row>
    <row r="43" spans="3:20" x14ac:dyDescent="0.2">
      <c r="C43" t="s">
        <v>71</v>
      </c>
    </row>
    <row r="44" spans="3:20" x14ac:dyDescent="0.2">
      <c r="D44" t="s">
        <v>72</v>
      </c>
      <c r="E44" t="s">
        <v>73</v>
      </c>
    </row>
    <row r="46" spans="3:20" x14ac:dyDescent="0.2">
      <c r="D46" t="s">
        <v>68</v>
      </c>
      <c r="E46">
        <v>10000</v>
      </c>
      <c r="G46" t="s">
        <v>74</v>
      </c>
      <c r="H46" t="s">
        <v>72</v>
      </c>
      <c r="I46" t="s">
        <v>76</v>
      </c>
    </row>
    <row r="47" spans="3:20" x14ac:dyDescent="0.2">
      <c r="G47">
        <v>1000</v>
      </c>
      <c r="H47">
        <f>G47/($E$46+G47)</f>
        <v>9.0909090909090912E-2</v>
      </c>
      <c r="I47">
        <f>H47</f>
        <v>9.0909090909090912E-2</v>
      </c>
    </row>
    <row r="48" spans="3:20" x14ac:dyDescent="0.2">
      <c r="G48">
        <v>2000</v>
      </c>
      <c r="H48">
        <f t="shared" ref="H48:H76" si="8">G48/($E$46+G48)</f>
        <v>0.16666666666666666</v>
      </c>
      <c r="I48">
        <f>H48-H47</f>
        <v>7.5757575757575746E-2</v>
      </c>
    </row>
    <row r="49" spans="7:9" x14ac:dyDescent="0.2">
      <c r="G49">
        <v>3000</v>
      </c>
      <c r="H49">
        <f t="shared" si="8"/>
        <v>0.23076923076923078</v>
      </c>
      <c r="I49">
        <f t="shared" ref="I49:I76" si="9">H49-H48</f>
        <v>6.4102564102564125E-2</v>
      </c>
    </row>
    <row r="50" spans="7:9" x14ac:dyDescent="0.2">
      <c r="G50">
        <v>4000</v>
      </c>
      <c r="H50">
        <f t="shared" si="8"/>
        <v>0.2857142857142857</v>
      </c>
      <c r="I50">
        <f t="shared" si="9"/>
        <v>5.4945054945054916E-2</v>
      </c>
    </row>
    <row r="51" spans="7:9" x14ac:dyDescent="0.2">
      <c r="G51">
        <v>5000</v>
      </c>
      <c r="H51">
        <f t="shared" si="8"/>
        <v>0.33333333333333331</v>
      </c>
      <c r="I51">
        <f t="shared" si="9"/>
        <v>4.7619047619047616E-2</v>
      </c>
    </row>
    <row r="52" spans="7:9" x14ac:dyDescent="0.2">
      <c r="G52">
        <v>6000</v>
      </c>
      <c r="H52">
        <f t="shared" si="8"/>
        <v>0.375</v>
      </c>
      <c r="I52">
        <f t="shared" si="9"/>
        <v>4.1666666666666685E-2</v>
      </c>
    </row>
    <row r="53" spans="7:9" x14ac:dyDescent="0.2">
      <c r="G53">
        <v>7000</v>
      </c>
      <c r="H53">
        <f t="shared" si="8"/>
        <v>0.41176470588235292</v>
      </c>
      <c r="I53">
        <f t="shared" si="9"/>
        <v>3.6764705882352922E-2</v>
      </c>
    </row>
    <row r="54" spans="7:9" x14ac:dyDescent="0.2">
      <c r="G54">
        <v>8000</v>
      </c>
      <c r="H54">
        <f t="shared" si="8"/>
        <v>0.44444444444444442</v>
      </c>
      <c r="I54">
        <f t="shared" si="9"/>
        <v>3.2679738562091498E-2</v>
      </c>
    </row>
    <row r="55" spans="7:9" x14ac:dyDescent="0.2">
      <c r="G55">
        <v>9000</v>
      </c>
      <c r="H55">
        <f t="shared" si="8"/>
        <v>0.47368421052631576</v>
      </c>
      <c r="I55">
        <f t="shared" si="9"/>
        <v>2.9239766081871343E-2</v>
      </c>
    </row>
    <row r="56" spans="7:9" x14ac:dyDescent="0.2">
      <c r="G56">
        <v>10000</v>
      </c>
      <c r="H56">
        <f t="shared" si="8"/>
        <v>0.5</v>
      </c>
      <c r="I56">
        <f t="shared" si="9"/>
        <v>2.6315789473684237E-2</v>
      </c>
    </row>
    <row r="57" spans="7:9" x14ac:dyDescent="0.2">
      <c r="G57">
        <v>11000</v>
      </c>
      <c r="H57">
        <f t="shared" si="8"/>
        <v>0.52380952380952384</v>
      </c>
      <c r="I57">
        <f t="shared" si="9"/>
        <v>2.3809523809523836E-2</v>
      </c>
    </row>
    <row r="58" spans="7:9" x14ac:dyDescent="0.2">
      <c r="G58">
        <v>12000</v>
      </c>
      <c r="H58">
        <f t="shared" si="8"/>
        <v>0.54545454545454541</v>
      </c>
      <c r="I58">
        <f t="shared" si="9"/>
        <v>2.1645021645021578E-2</v>
      </c>
    </row>
    <row r="59" spans="7:9" x14ac:dyDescent="0.2">
      <c r="G59">
        <v>13000</v>
      </c>
      <c r="H59">
        <f t="shared" si="8"/>
        <v>0.56521739130434778</v>
      </c>
      <c r="I59">
        <f t="shared" si="9"/>
        <v>1.9762845849802368E-2</v>
      </c>
    </row>
    <row r="60" spans="7:9" x14ac:dyDescent="0.2">
      <c r="G60">
        <v>14000</v>
      </c>
      <c r="H60">
        <f t="shared" si="8"/>
        <v>0.58333333333333337</v>
      </c>
      <c r="I60">
        <f t="shared" si="9"/>
        <v>1.8115942028985588E-2</v>
      </c>
    </row>
    <row r="61" spans="7:9" x14ac:dyDescent="0.2">
      <c r="G61" s="5">
        <v>15000</v>
      </c>
      <c r="H61" s="5">
        <f t="shared" si="8"/>
        <v>0.6</v>
      </c>
      <c r="I61" s="5">
        <f t="shared" si="9"/>
        <v>1.6666666666666607E-2</v>
      </c>
    </row>
    <row r="62" spans="7:9" x14ac:dyDescent="0.2">
      <c r="G62">
        <v>16000</v>
      </c>
      <c r="H62">
        <f t="shared" si="8"/>
        <v>0.61538461538461542</v>
      </c>
      <c r="I62">
        <f t="shared" si="9"/>
        <v>1.5384615384615441E-2</v>
      </c>
    </row>
    <row r="63" spans="7:9" x14ac:dyDescent="0.2">
      <c r="G63">
        <v>17000</v>
      </c>
      <c r="H63">
        <f t="shared" si="8"/>
        <v>0.62962962962962965</v>
      </c>
      <c r="I63">
        <f t="shared" si="9"/>
        <v>1.4245014245014231E-2</v>
      </c>
    </row>
    <row r="64" spans="7:9" x14ac:dyDescent="0.2">
      <c r="G64">
        <v>18000</v>
      </c>
      <c r="H64">
        <f t="shared" si="8"/>
        <v>0.6428571428571429</v>
      </c>
      <c r="I64">
        <f t="shared" si="9"/>
        <v>1.3227513227513255E-2</v>
      </c>
    </row>
    <row r="65" spans="2:9" x14ac:dyDescent="0.2">
      <c r="G65">
        <v>19000</v>
      </c>
      <c r="H65">
        <f t="shared" si="8"/>
        <v>0.65517241379310343</v>
      </c>
      <c r="I65">
        <f t="shared" si="9"/>
        <v>1.2315270935960521E-2</v>
      </c>
    </row>
    <row r="66" spans="2:9" x14ac:dyDescent="0.2">
      <c r="G66">
        <v>20000</v>
      </c>
      <c r="H66">
        <f t="shared" si="8"/>
        <v>0.66666666666666663</v>
      </c>
      <c r="I66">
        <f t="shared" si="9"/>
        <v>1.1494252873563204E-2</v>
      </c>
    </row>
    <row r="67" spans="2:9" x14ac:dyDescent="0.2">
      <c r="G67">
        <v>21000</v>
      </c>
      <c r="H67">
        <f t="shared" si="8"/>
        <v>0.67741935483870963</v>
      </c>
      <c r="I67">
        <f t="shared" si="9"/>
        <v>1.0752688172043001E-2</v>
      </c>
    </row>
    <row r="68" spans="2:9" x14ac:dyDescent="0.2">
      <c r="G68">
        <v>22000</v>
      </c>
      <c r="H68">
        <f t="shared" si="8"/>
        <v>0.6875</v>
      </c>
      <c r="I68">
        <f t="shared" si="9"/>
        <v>1.0080645161290369E-2</v>
      </c>
    </row>
    <row r="69" spans="2:9" x14ac:dyDescent="0.2">
      <c r="G69">
        <v>23000</v>
      </c>
      <c r="H69">
        <f t="shared" si="8"/>
        <v>0.69696969696969702</v>
      </c>
      <c r="I69">
        <f t="shared" si="9"/>
        <v>9.4696969696970168E-3</v>
      </c>
    </row>
    <row r="70" spans="2:9" x14ac:dyDescent="0.2">
      <c r="G70">
        <v>24000</v>
      </c>
      <c r="H70">
        <f t="shared" si="8"/>
        <v>0.70588235294117652</v>
      </c>
      <c r="I70">
        <f t="shared" si="9"/>
        <v>8.9126559714794995E-3</v>
      </c>
    </row>
    <row r="71" spans="2:9" x14ac:dyDescent="0.2">
      <c r="G71">
        <v>25000</v>
      </c>
      <c r="H71">
        <f t="shared" si="8"/>
        <v>0.7142857142857143</v>
      </c>
      <c r="I71">
        <f t="shared" si="9"/>
        <v>8.4033613445377853E-3</v>
      </c>
    </row>
    <row r="72" spans="2:9" x14ac:dyDescent="0.2">
      <c r="G72">
        <v>26000</v>
      </c>
      <c r="H72">
        <f t="shared" si="8"/>
        <v>0.72222222222222221</v>
      </c>
      <c r="I72">
        <f t="shared" si="9"/>
        <v>7.9365079365079083E-3</v>
      </c>
    </row>
    <row r="73" spans="2:9" x14ac:dyDescent="0.2">
      <c r="G73">
        <v>27000</v>
      </c>
      <c r="H73">
        <f t="shared" si="8"/>
        <v>0.72972972972972971</v>
      </c>
      <c r="I73">
        <f t="shared" si="9"/>
        <v>7.5075075075075048E-3</v>
      </c>
    </row>
    <row r="74" spans="2:9" x14ac:dyDescent="0.2">
      <c r="G74">
        <v>28000</v>
      </c>
      <c r="H74">
        <f t="shared" si="8"/>
        <v>0.73684210526315785</v>
      </c>
      <c r="I74">
        <f t="shared" si="9"/>
        <v>7.1123755334281391E-3</v>
      </c>
    </row>
    <row r="75" spans="2:9" x14ac:dyDescent="0.2">
      <c r="G75">
        <v>29000</v>
      </c>
      <c r="H75">
        <f t="shared" si="8"/>
        <v>0.74358974358974361</v>
      </c>
      <c r="I75">
        <f>H75-H74</f>
        <v>6.7476383265857587E-3</v>
      </c>
    </row>
    <row r="76" spans="2:9" x14ac:dyDescent="0.2">
      <c r="G76">
        <v>30000</v>
      </c>
      <c r="H76">
        <f t="shared" si="8"/>
        <v>0.75</v>
      </c>
      <c r="I76">
        <f t="shared" si="9"/>
        <v>6.4102564102563875E-3</v>
      </c>
    </row>
    <row r="79" spans="2:9" x14ac:dyDescent="0.2">
      <c r="B79" t="s">
        <v>84</v>
      </c>
    </row>
    <row r="80" spans="2:9" x14ac:dyDescent="0.2">
      <c r="C80" s="1"/>
      <c r="D80" s="1" t="s">
        <v>77</v>
      </c>
      <c r="E80" s="1" t="s">
        <v>78</v>
      </c>
      <c r="F80" s="1" t="s">
        <v>79</v>
      </c>
      <c r="G80" s="1" t="s">
        <v>68</v>
      </c>
      <c r="I80" s="1" t="s">
        <v>72</v>
      </c>
    </row>
    <row r="81" spans="3:9" x14ac:dyDescent="0.2">
      <c r="C81" s="1" t="s">
        <v>80</v>
      </c>
      <c r="D81" s="1">
        <v>70</v>
      </c>
      <c r="E81" s="1">
        <v>470</v>
      </c>
      <c r="F81" s="1">
        <v>65</v>
      </c>
      <c r="G81" s="1">
        <v>50</v>
      </c>
      <c r="I81">
        <f>F81/(F81+G81)</f>
        <v>0.56521739130434778</v>
      </c>
    </row>
    <row r="82" spans="3:9" x14ac:dyDescent="0.2">
      <c r="C82" s="1" t="s">
        <v>81</v>
      </c>
      <c r="D82" s="1">
        <v>110</v>
      </c>
      <c r="E82" s="1">
        <v>400</v>
      </c>
      <c r="F82" s="1">
        <v>60</v>
      </c>
      <c r="G82" s="1">
        <v>50</v>
      </c>
      <c r="I82">
        <f>F82/(F82+G82)</f>
        <v>0.54545454545454541</v>
      </c>
    </row>
    <row r="83" spans="3:9" x14ac:dyDescent="0.2">
      <c r="C83" s="1" t="s">
        <v>82</v>
      </c>
      <c r="D83" s="1">
        <v>115</v>
      </c>
      <c r="E83" s="1">
        <v>360</v>
      </c>
      <c r="F83" s="1">
        <v>48</v>
      </c>
      <c r="G83" s="1">
        <v>50</v>
      </c>
      <c r="I83">
        <f>F83/(F83+G83)</f>
        <v>0.48979591836734693</v>
      </c>
    </row>
    <row r="84" spans="3:9" x14ac:dyDescent="0.2">
      <c r="C84" s="1" t="s">
        <v>83</v>
      </c>
      <c r="D84" s="1">
        <v>122</v>
      </c>
      <c r="E84" s="1">
        <v>320</v>
      </c>
      <c r="F84" s="1">
        <v>43</v>
      </c>
      <c r="G84" s="1">
        <v>50</v>
      </c>
      <c r="I84">
        <f>F84/(F84+G84)</f>
        <v>0.46236559139784944</v>
      </c>
    </row>
    <row r="352" spans="4:4" x14ac:dyDescent="0.2">
      <c r="D352">
        <f>_xlfn.IFNA(VLOOKUP($D179,[1]装备数据!$B$4:$Q$172,3,0),0)+_xlfn.IFNA(VLOOKUP($E179,[1]装备数据!$B$4:$Q$172,3,0),0)+_xlfn.IFNA(VLOOKUP($F179,[1]装备数据!$B$4:$Q$172,3,0),0)+_xlfn.IFNA(VLOOKUP($G179,[1]装备数据!$B$4:$Q$172,3,0),0)+_xlfn.IFNA(VLOOKUP($H179,[1]装备数据!$B$4:$Q$172,3,0),0)+_xlfn.IFNA(VLOOKUP($I179,[1]装备数据!$B$4:$Q$172,3,0),0)+_xlfn.IFNA(VLOOKUP($J179,[1]装备数据!$B$4:$Q$172,3,0),0)+_xlfn.IFNA(VLOOKUP($K179,[1]装备数据!$B$4:$Q$172,3,0),0)</f>
        <v>0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7"/>
  <sheetViews>
    <sheetView topLeftCell="B1" workbookViewId="0">
      <selection activeCell="F29" sqref="F29"/>
    </sheetView>
  </sheetViews>
  <sheetFormatPr defaultRowHeight="14.25" x14ac:dyDescent="0.2"/>
  <sheetData>
    <row r="1" spans="1:15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">
      <c r="A2" s="1"/>
      <c r="B2" s="1"/>
      <c r="C2" s="1" t="s">
        <v>109</v>
      </c>
      <c r="D2" s="1" t="s">
        <v>126</v>
      </c>
      <c r="E2" s="1"/>
      <c r="F2" s="1"/>
      <c r="G2" s="1"/>
      <c r="H2" s="1" t="s">
        <v>110</v>
      </c>
      <c r="I2" s="1">
        <f>K2*10</f>
        <v>1800</v>
      </c>
      <c r="J2" s="1"/>
      <c r="K2" s="1">
        <v>180</v>
      </c>
      <c r="L2" s="1" t="s">
        <v>125</v>
      </c>
      <c r="M2" s="1"/>
      <c r="N2" s="1"/>
      <c r="O2" s="1"/>
    </row>
    <row r="3" spans="1:15" x14ac:dyDescent="0.2">
      <c r="A3" s="1"/>
      <c r="B3" s="1"/>
      <c r="C3" s="1"/>
      <c r="D3" s="1"/>
      <c r="E3" s="1"/>
      <c r="F3" s="1"/>
      <c r="G3" s="1"/>
      <c r="H3" s="1" t="s">
        <v>111</v>
      </c>
      <c r="I3" s="1">
        <v>1200</v>
      </c>
      <c r="J3" s="1"/>
      <c r="K3" s="1"/>
      <c r="L3" s="1"/>
      <c r="M3" s="1"/>
      <c r="N3" s="1"/>
      <c r="O3" s="1"/>
    </row>
    <row r="4" spans="1:15" x14ac:dyDescent="0.2">
      <c r="A4" s="1"/>
      <c r="B4" s="1"/>
      <c r="C4" s="1"/>
      <c r="D4" s="1" t="s">
        <v>112</v>
      </c>
      <c r="E4" s="1" t="s">
        <v>113</v>
      </c>
      <c r="F4" s="1" t="s">
        <v>114</v>
      </c>
      <c r="G4" s="1" t="s">
        <v>115</v>
      </c>
      <c r="H4" s="1"/>
      <c r="I4" s="1"/>
      <c r="J4" s="1" t="s">
        <v>116</v>
      </c>
      <c r="K4" s="1" t="s">
        <v>117</v>
      </c>
      <c r="L4" s="1" t="s">
        <v>118</v>
      </c>
      <c r="M4" s="1">
        <f>SUM(M5:M8)</f>
        <v>10.7</v>
      </c>
      <c r="N4" s="1"/>
      <c r="O4" s="1">
        <f>M4/SUM(G5:G10)</f>
        <v>0.12738095238095237</v>
      </c>
    </row>
    <row r="5" spans="1:15" x14ac:dyDescent="0.2">
      <c r="A5" s="1"/>
      <c r="B5" s="1">
        <v>0</v>
      </c>
      <c r="C5" s="1" t="s">
        <v>119</v>
      </c>
      <c r="D5" s="1">
        <v>12</v>
      </c>
      <c r="E5" s="1">
        <v>20</v>
      </c>
      <c r="F5" s="1">
        <v>100</v>
      </c>
      <c r="G5" s="1">
        <v>47</v>
      </c>
      <c r="H5" s="1"/>
      <c r="I5" s="1"/>
      <c r="J5" s="1">
        <v>0.57999999999999996</v>
      </c>
      <c r="K5" s="1">
        <v>1</v>
      </c>
      <c r="L5" s="1">
        <f>J5*K5*G5</f>
        <v>27.259999999999998</v>
      </c>
      <c r="M5" s="1">
        <v>1.2</v>
      </c>
      <c r="N5" s="1"/>
      <c r="O5" s="1"/>
    </row>
    <row r="6" spans="1:15" x14ac:dyDescent="0.2">
      <c r="A6" s="1"/>
      <c r="B6" s="1">
        <v>1</v>
      </c>
      <c r="C6" s="1" t="s">
        <v>120</v>
      </c>
      <c r="D6" s="1">
        <v>33</v>
      </c>
      <c r="E6" s="1">
        <v>180</v>
      </c>
      <c r="F6" s="1">
        <v>100</v>
      </c>
      <c r="G6" s="1">
        <v>10</v>
      </c>
      <c r="H6" s="1"/>
      <c r="I6" s="1"/>
      <c r="J6" s="1">
        <v>3</v>
      </c>
      <c r="K6" s="1">
        <v>1</v>
      </c>
      <c r="L6" s="1">
        <f>J6*K6*G6</f>
        <v>30</v>
      </c>
      <c r="M6" s="1">
        <v>3.3</v>
      </c>
      <c r="N6" s="1"/>
      <c r="O6" s="1"/>
    </row>
    <row r="7" spans="1:15" x14ac:dyDescent="0.2">
      <c r="A7" s="1"/>
      <c r="B7" s="1">
        <v>2</v>
      </c>
      <c r="C7" s="1" t="s">
        <v>121</v>
      </c>
      <c r="D7" s="1">
        <v>32</v>
      </c>
      <c r="E7" s="1"/>
      <c r="F7" s="1">
        <v>0</v>
      </c>
      <c r="G7" s="1">
        <v>7</v>
      </c>
      <c r="H7" s="1"/>
      <c r="I7" s="1"/>
      <c r="J7" s="1">
        <v>4.5</v>
      </c>
      <c r="K7" s="1">
        <v>3</v>
      </c>
      <c r="L7" s="1">
        <f>J7*K7*G7</f>
        <v>94.5</v>
      </c>
      <c r="M7" s="1">
        <v>3.2</v>
      </c>
      <c r="N7" s="1"/>
      <c r="O7" s="1"/>
    </row>
    <row r="8" spans="1:15" x14ac:dyDescent="0.2">
      <c r="A8" s="1"/>
      <c r="B8" s="1">
        <v>3</v>
      </c>
      <c r="C8" s="1" t="s">
        <v>122</v>
      </c>
      <c r="D8" s="1">
        <v>30</v>
      </c>
      <c r="E8" s="1">
        <v>30</v>
      </c>
      <c r="F8" s="1">
        <v>163</v>
      </c>
      <c r="G8" s="1">
        <v>20</v>
      </c>
      <c r="H8" s="1"/>
      <c r="I8" s="1"/>
      <c r="J8" s="1">
        <v>0.85</v>
      </c>
      <c r="K8" s="1">
        <v>3</v>
      </c>
      <c r="L8" s="1">
        <f>J8*K8*G8</f>
        <v>51</v>
      </c>
      <c r="M8" s="1">
        <v>3</v>
      </c>
      <c r="N8" s="1"/>
      <c r="O8" s="1"/>
    </row>
    <row r="9" spans="1:15" x14ac:dyDescent="0.2">
      <c r="A9" s="1"/>
      <c r="B9" s="1">
        <v>4</v>
      </c>
      <c r="C9" s="1" t="s">
        <v>123</v>
      </c>
      <c r="D9" s="1"/>
      <c r="E9" s="1"/>
      <c r="F9" s="1">
        <v>0</v>
      </c>
      <c r="G9" s="1">
        <v>0</v>
      </c>
      <c r="H9" s="1"/>
      <c r="I9" s="1"/>
      <c r="J9" s="1"/>
      <c r="K9" s="1"/>
      <c r="L9" s="1"/>
      <c r="M9" s="1"/>
      <c r="N9" s="1"/>
      <c r="O9" s="1"/>
    </row>
    <row r="10" spans="1:15" x14ac:dyDescent="0.2">
      <c r="A10" s="1"/>
      <c r="B10" s="1">
        <v>5</v>
      </c>
      <c r="C10" s="1" t="s">
        <v>124</v>
      </c>
      <c r="D10" s="1"/>
      <c r="E10" s="1"/>
      <c r="F10" s="1">
        <v>0</v>
      </c>
      <c r="G10" s="1">
        <v>0</v>
      </c>
      <c r="H10" s="1"/>
      <c r="I10" s="1"/>
      <c r="J10" s="1"/>
      <c r="K10" s="1"/>
      <c r="L10" s="1"/>
      <c r="M10" s="1"/>
      <c r="N10" s="1"/>
      <c r="O10" s="1"/>
    </row>
    <row r="14" spans="1:15" x14ac:dyDescent="0.2">
      <c r="G14">
        <f>G5*D5</f>
        <v>564</v>
      </c>
    </row>
    <row r="15" spans="1:15" x14ac:dyDescent="0.2">
      <c r="G15">
        <f>G6*D6</f>
        <v>330</v>
      </c>
    </row>
    <row r="17" spans="7:7" x14ac:dyDescent="0.2">
      <c r="G17">
        <f>G8*D8</f>
        <v>600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运算">
          <controlPr defaultSize="0" autoLine="0" r:id="rId5">
            <anchor moveWithCells="1">
              <from>
                <xdr:col>7</xdr:col>
                <xdr:colOff>323850</xdr:colOff>
                <xdr:row>5</xdr:row>
                <xdr:rowOff>85725</xdr:rowOff>
              </from>
              <to>
                <xdr:col>8</xdr:col>
                <xdr:colOff>361950</xdr:colOff>
                <xdr:row>7</xdr:row>
                <xdr:rowOff>9525</xdr:rowOff>
              </to>
            </anchor>
          </controlPr>
        </control>
      </mc:Choice>
      <mc:Fallback>
        <control shapeId="2049" r:id="rId4" name="运算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B98"/>
  <sheetViews>
    <sheetView workbookViewId="0">
      <selection activeCell="F22" sqref="F22"/>
    </sheetView>
  </sheetViews>
  <sheetFormatPr defaultRowHeight="14.25" x14ac:dyDescent="0.2"/>
  <sheetData>
    <row r="3" spans="2:2" x14ac:dyDescent="0.2">
      <c r="B3" s="1" t="s">
        <v>0</v>
      </c>
    </row>
    <row r="4" spans="2:2" x14ac:dyDescent="0.2">
      <c r="B4" s="1" t="s">
        <v>1</v>
      </c>
    </row>
    <row r="5" spans="2:2" x14ac:dyDescent="0.2">
      <c r="B5" s="1"/>
    </row>
    <row r="6" spans="2:2" x14ac:dyDescent="0.2">
      <c r="B6" s="1" t="s">
        <v>2</v>
      </c>
    </row>
    <row r="7" spans="2:2" x14ac:dyDescent="0.2">
      <c r="B7" s="1" t="s">
        <v>3</v>
      </c>
    </row>
    <row r="8" spans="2:2" x14ac:dyDescent="0.2">
      <c r="B8" s="1" t="s">
        <v>4</v>
      </c>
    </row>
    <row r="9" spans="2:2" x14ac:dyDescent="0.2">
      <c r="B9" s="1" t="s">
        <v>5</v>
      </c>
    </row>
    <row r="10" spans="2:2" x14ac:dyDescent="0.2">
      <c r="B10" s="1"/>
    </row>
    <row r="11" spans="2:2" x14ac:dyDescent="0.2">
      <c r="B11" s="1" t="s">
        <v>6</v>
      </c>
    </row>
    <row r="12" spans="2:2" x14ac:dyDescent="0.2">
      <c r="B12" s="1" t="s">
        <v>7</v>
      </c>
    </row>
    <row r="13" spans="2:2" x14ac:dyDescent="0.2">
      <c r="B13" s="1"/>
    </row>
    <row r="14" spans="2:2" x14ac:dyDescent="0.2">
      <c r="B14" s="1" t="s">
        <v>8</v>
      </c>
    </row>
    <row r="15" spans="2:2" x14ac:dyDescent="0.2">
      <c r="B15" s="1" t="s">
        <v>9</v>
      </c>
    </row>
    <row r="16" spans="2:2" x14ac:dyDescent="0.2">
      <c r="B16" s="1"/>
    </row>
    <row r="17" spans="2:2" x14ac:dyDescent="0.2">
      <c r="B17" s="1" t="s">
        <v>10</v>
      </c>
    </row>
    <row r="18" spans="2:2" x14ac:dyDescent="0.2">
      <c r="B18" s="1" t="s">
        <v>11</v>
      </c>
    </row>
    <row r="19" spans="2:2" x14ac:dyDescent="0.2">
      <c r="B19" s="1" t="s">
        <v>12</v>
      </c>
    </row>
    <row r="20" spans="2:2" x14ac:dyDescent="0.2">
      <c r="B20" s="1" t="s">
        <v>13</v>
      </c>
    </row>
    <row r="21" spans="2:2" x14ac:dyDescent="0.2">
      <c r="B21" s="1" t="s">
        <v>14</v>
      </c>
    </row>
    <row r="22" spans="2:2" x14ac:dyDescent="0.2">
      <c r="B22" s="1"/>
    </row>
    <row r="23" spans="2:2" x14ac:dyDescent="0.2">
      <c r="B23" s="1" t="s">
        <v>15</v>
      </c>
    </row>
    <row r="24" spans="2:2" x14ac:dyDescent="0.2">
      <c r="B24" s="1" t="s">
        <v>16</v>
      </c>
    </row>
    <row r="25" spans="2:2" x14ac:dyDescent="0.2">
      <c r="B25" s="1" t="s">
        <v>17</v>
      </c>
    </row>
    <row r="26" spans="2:2" x14ac:dyDescent="0.2">
      <c r="B26" s="1" t="s">
        <v>18</v>
      </c>
    </row>
    <row r="27" spans="2:2" x14ac:dyDescent="0.2">
      <c r="B27" s="1"/>
    </row>
    <row r="28" spans="2:2" x14ac:dyDescent="0.2">
      <c r="B28" s="1" t="s">
        <v>15</v>
      </c>
    </row>
    <row r="29" spans="2:2" x14ac:dyDescent="0.2">
      <c r="B29" s="1" t="s">
        <v>19</v>
      </c>
    </row>
    <row r="30" spans="2:2" x14ac:dyDescent="0.2">
      <c r="B30" s="1" t="s">
        <v>20</v>
      </c>
    </row>
    <row r="31" spans="2:2" x14ac:dyDescent="0.2">
      <c r="B31" s="1" t="s">
        <v>21</v>
      </c>
    </row>
    <row r="32" spans="2:2" x14ac:dyDescent="0.2">
      <c r="B32" s="1"/>
    </row>
    <row r="33" spans="2:2" x14ac:dyDescent="0.2">
      <c r="B33" s="1" t="s">
        <v>22</v>
      </c>
    </row>
    <row r="34" spans="2:2" x14ac:dyDescent="0.2">
      <c r="B34" s="1" t="s">
        <v>23</v>
      </c>
    </row>
    <row r="35" spans="2:2" x14ac:dyDescent="0.2">
      <c r="B35" s="1" t="s">
        <v>24</v>
      </c>
    </row>
    <row r="36" spans="2:2" x14ac:dyDescent="0.2">
      <c r="B36" s="1"/>
    </row>
    <row r="37" spans="2:2" x14ac:dyDescent="0.2">
      <c r="B37" s="1" t="s">
        <v>25</v>
      </c>
    </row>
    <row r="38" spans="2:2" x14ac:dyDescent="0.2">
      <c r="B38" s="1" t="s">
        <v>26</v>
      </c>
    </row>
    <row r="39" spans="2:2" x14ac:dyDescent="0.2">
      <c r="B39" s="1"/>
    </row>
    <row r="40" spans="2:2" x14ac:dyDescent="0.2">
      <c r="B40" s="1" t="s">
        <v>27</v>
      </c>
    </row>
    <row r="41" spans="2:2" x14ac:dyDescent="0.2">
      <c r="B41" s="1" t="s">
        <v>28</v>
      </c>
    </row>
    <row r="42" spans="2:2" x14ac:dyDescent="0.2">
      <c r="B42" s="1" t="s">
        <v>29</v>
      </c>
    </row>
    <row r="43" spans="2:2" x14ac:dyDescent="0.2">
      <c r="B43" s="1" t="s">
        <v>30</v>
      </c>
    </row>
    <row r="44" spans="2:2" x14ac:dyDescent="0.2">
      <c r="B44" s="1" t="s">
        <v>31</v>
      </c>
    </row>
    <row r="45" spans="2:2" x14ac:dyDescent="0.2">
      <c r="B45" s="1"/>
    </row>
    <row r="46" spans="2:2" x14ac:dyDescent="0.2">
      <c r="B46" s="1" t="s">
        <v>32</v>
      </c>
    </row>
    <row r="47" spans="2:2" x14ac:dyDescent="0.2">
      <c r="B47" s="1" t="s">
        <v>33</v>
      </c>
    </row>
    <row r="48" spans="2:2" x14ac:dyDescent="0.2">
      <c r="B48" s="1" t="s">
        <v>34</v>
      </c>
    </row>
    <row r="52" spans="2:2" x14ac:dyDescent="0.2">
      <c r="B52" t="s">
        <v>85</v>
      </c>
    </row>
    <row r="54" spans="2:2" x14ac:dyDescent="0.2">
      <c r="B54" t="s">
        <v>86</v>
      </c>
    </row>
    <row r="56" spans="2:2" x14ac:dyDescent="0.2">
      <c r="B56" t="s">
        <v>87</v>
      </c>
    </row>
    <row r="58" spans="2:2" x14ac:dyDescent="0.2">
      <c r="B58" t="s">
        <v>88</v>
      </c>
    </row>
    <row r="60" spans="2:2" x14ac:dyDescent="0.2">
      <c r="B60" t="s">
        <v>89</v>
      </c>
    </row>
    <row r="62" spans="2:2" x14ac:dyDescent="0.2">
      <c r="B62" t="s">
        <v>90</v>
      </c>
    </row>
    <row r="64" spans="2:2" x14ac:dyDescent="0.2">
      <c r="B64" t="s">
        <v>91</v>
      </c>
    </row>
    <row r="66" spans="2:2" x14ac:dyDescent="0.2">
      <c r="B66" t="s">
        <v>92</v>
      </c>
    </row>
    <row r="68" spans="2:2" x14ac:dyDescent="0.2">
      <c r="B68" t="s">
        <v>93</v>
      </c>
    </row>
    <row r="70" spans="2:2" x14ac:dyDescent="0.2">
      <c r="B70" t="s">
        <v>94</v>
      </c>
    </row>
    <row r="72" spans="2:2" x14ac:dyDescent="0.2">
      <c r="B72" t="s">
        <v>95</v>
      </c>
    </row>
    <row r="74" spans="2:2" x14ac:dyDescent="0.2">
      <c r="B74" t="s">
        <v>96</v>
      </c>
    </row>
    <row r="76" spans="2:2" x14ac:dyDescent="0.2">
      <c r="B76" t="s">
        <v>97</v>
      </c>
    </row>
    <row r="78" spans="2:2" x14ac:dyDescent="0.2">
      <c r="B78" t="s">
        <v>98</v>
      </c>
    </row>
    <row r="80" spans="2:2" x14ac:dyDescent="0.2">
      <c r="B80" t="s">
        <v>99</v>
      </c>
    </row>
    <row r="82" spans="2:2" x14ac:dyDescent="0.2">
      <c r="B82" t="s">
        <v>100</v>
      </c>
    </row>
    <row r="84" spans="2:2" x14ac:dyDescent="0.2">
      <c r="B84" t="s">
        <v>101</v>
      </c>
    </row>
    <row r="86" spans="2:2" x14ac:dyDescent="0.2">
      <c r="B86" t="s">
        <v>102</v>
      </c>
    </row>
    <row r="88" spans="2:2" x14ac:dyDescent="0.2">
      <c r="B88" t="s">
        <v>103</v>
      </c>
    </row>
    <row r="90" spans="2:2" x14ac:dyDescent="0.2">
      <c r="B90" t="s">
        <v>104</v>
      </c>
    </row>
    <row r="92" spans="2:2" x14ac:dyDescent="0.2">
      <c r="B92" t="s">
        <v>105</v>
      </c>
    </row>
    <row r="94" spans="2:2" x14ac:dyDescent="0.2">
      <c r="B94" t="s">
        <v>106</v>
      </c>
    </row>
    <row r="96" spans="2:2" x14ac:dyDescent="0.2">
      <c r="B96" t="s">
        <v>107</v>
      </c>
    </row>
    <row r="98" spans="2:2" x14ac:dyDescent="0.2">
      <c r="B98" t="s">
        <v>108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4:T26"/>
  <sheetViews>
    <sheetView tabSelected="1" workbookViewId="0">
      <selection activeCell="Q22" sqref="Q22"/>
    </sheetView>
  </sheetViews>
  <sheetFormatPr defaultRowHeight="14.25" x14ac:dyDescent="0.2"/>
  <cols>
    <col min="3" max="3" width="22.5" bestFit="1" customWidth="1"/>
    <col min="9" max="9" width="14.875" customWidth="1"/>
    <col min="16" max="16" width="11" bestFit="1" customWidth="1"/>
    <col min="17" max="17" width="13" bestFit="1" customWidth="1"/>
    <col min="20" max="20" width="17.25" bestFit="1" customWidth="1"/>
  </cols>
  <sheetData>
    <row r="4" spans="3:17" x14ac:dyDescent="0.2">
      <c r="C4" t="s">
        <v>128</v>
      </c>
      <c r="D4" t="s">
        <v>129</v>
      </c>
      <c r="I4" t="s">
        <v>130</v>
      </c>
      <c r="N4" t="s">
        <v>131</v>
      </c>
      <c r="O4" t="s">
        <v>135</v>
      </c>
      <c r="P4" t="s">
        <v>136</v>
      </c>
      <c r="Q4" t="s">
        <v>137</v>
      </c>
    </row>
    <row r="5" spans="3:17" x14ac:dyDescent="0.2">
      <c r="C5" t="s">
        <v>127</v>
      </c>
      <c r="D5">
        <v>18</v>
      </c>
      <c r="I5" t="str">
        <f>追加关键字(C5,"+","(",","&amp;D5&amp;")")</f>
        <v>(2000,18)+(2001,18)+(2002,18)+(2003,18)</v>
      </c>
      <c r="N5" t="s">
        <v>148</v>
      </c>
      <c r="O5" t="s">
        <v>132</v>
      </c>
      <c r="P5" t="s">
        <v>133</v>
      </c>
      <c r="Q5" t="s">
        <v>134</v>
      </c>
    </row>
    <row r="8" spans="3:17" x14ac:dyDescent="0.2">
      <c r="C8" t="s">
        <v>138</v>
      </c>
      <c r="E8" t="s">
        <v>139</v>
      </c>
      <c r="I8" t="str">
        <f>合并区域(C8:E8,"+")</f>
        <v>2000,1,3+4000,1,3</v>
      </c>
    </row>
    <row r="9" spans="3:17" x14ac:dyDescent="0.2">
      <c r="C9" t="s">
        <v>140</v>
      </c>
      <c r="D9" t="s">
        <v>141</v>
      </c>
      <c r="E9" t="s">
        <v>142</v>
      </c>
      <c r="I9" t="str">
        <f>合并区域(C8:E9,"+")</f>
        <v>2000,1,3+4000,1,3+2000,1,4+3000,1,4+4000,1,4</v>
      </c>
      <c r="N9" t="s">
        <v>143</v>
      </c>
      <c r="O9" t="s">
        <v>144</v>
      </c>
    </row>
    <row r="12" spans="3:17" x14ac:dyDescent="0.2">
      <c r="I12" t="str">
        <f>合并区域包含空值(C8:E9,"+","空")</f>
        <v>2000,1,3+空+4000,1,3+2000,1,4+3000,1,4+4000,1,4</v>
      </c>
      <c r="N12" t="s">
        <v>143</v>
      </c>
      <c r="O12" t="s">
        <v>144</v>
      </c>
      <c r="P12" t="s">
        <v>145</v>
      </c>
    </row>
    <row r="15" spans="3:17" x14ac:dyDescent="0.2">
      <c r="C15" t="s">
        <v>146</v>
      </c>
      <c r="I15" t="str">
        <f>去掉重复项(C15,"+")</f>
        <v>2000+2001+2002+2003</v>
      </c>
      <c r="N15" t="s">
        <v>147</v>
      </c>
      <c r="O15" t="s">
        <v>149</v>
      </c>
    </row>
    <row r="18" spans="3:20" x14ac:dyDescent="0.2">
      <c r="C18" t="s">
        <v>146</v>
      </c>
      <c r="I18">
        <f>字符串个数(C18,"+")</f>
        <v>5</v>
      </c>
    </row>
    <row r="21" spans="3:20" x14ac:dyDescent="0.2">
      <c r="C21" t="s">
        <v>146</v>
      </c>
      <c r="I21" t="b">
        <f>查找字符(C21,2004)</f>
        <v>0</v>
      </c>
    </row>
    <row r="24" spans="3:20" x14ac:dyDescent="0.2">
      <c r="C24" t="s">
        <v>150</v>
      </c>
      <c r="D24" t="s">
        <v>152</v>
      </c>
      <c r="E24" t="s">
        <v>150</v>
      </c>
      <c r="F24" t="s">
        <v>152</v>
      </c>
      <c r="G24" t="s">
        <v>156</v>
      </c>
      <c r="H24" t="s">
        <v>157</v>
      </c>
    </row>
    <row r="25" spans="3:20" x14ac:dyDescent="0.2">
      <c r="C25" t="s">
        <v>151</v>
      </c>
      <c r="D25" t="s">
        <v>153</v>
      </c>
      <c r="E25">
        <v>1222</v>
      </c>
      <c r="F25">
        <v>9</v>
      </c>
      <c r="G25" t="s">
        <v>154</v>
      </c>
      <c r="H25" t="s">
        <v>158</v>
      </c>
      <c r="I25" t="str">
        <f>SUBSTITUTE(合并两个区域按条件($C$24:$H$24,C25:H25,"",C25:H25,"&lt;&gt;","",""),"&amp;","")</f>
        <v>{prop,{1222,9}}</v>
      </c>
      <c r="N25" t="s">
        <v>159</v>
      </c>
      <c r="O25" t="s">
        <v>160</v>
      </c>
      <c r="P25" t="s">
        <v>164</v>
      </c>
      <c r="Q25" t="s">
        <v>161</v>
      </c>
      <c r="R25" t="s">
        <v>162</v>
      </c>
      <c r="S25" t="s">
        <v>163</v>
      </c>
      <c r="T25" t="s">
        <v>165</v>
      </c>
    </row>
    <row r="26" spans="3:20" x14ac:dyDescent="0.2">
      <c r="C26" t="s">
        <v>155</v>
      </c>
      <c r="F26">
        <v>200</v>
      </c>
      <c r="H26" t="s">
        <v>158</v>
      </c>
      <c r="I26" t="str">
        <f>SUBSTITUTE(合并两个区域按条件($C$24:$H$24,C26:H26,"",C26:H26,"&lt;&gt;","",""),"&amp;","")</f>
        <v>{money,200}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基础公式</vt:lpstr>
      <vt:lpstr>技能系数</vt:lpstr>
      <vt:lpstr>程序逻辑（备用）</vt:lpstr>
      <vt:lpstr>便捷公式示范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2019-04-02T08:48:31Z</dcterms:modified>
</cp:coreProperties>
</file>